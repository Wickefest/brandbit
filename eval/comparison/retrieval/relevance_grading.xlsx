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mc:AlternateContent xmlns:mc="http://schemas.openxmlformats.org/markup-compatibility/2006">
    <mc:Choice Requires="x15">
      <x15ac:absPath xmlns:x15ac="http://schemas.microsoft.com/office/spreadsheetml/2010/11/ac" url="D:\CM3070_Brandbit\eval\comparison\retrieval\"/>
    </mc:Choice>
  </mc:AlternateContent>
  <xr:revisionPtr revIDLastSave="0" documentId="13_ncr:1_{99F4D237-61C4-4E6D-84BE-B4CB2B6A26C9}" xr6:coauthVersionLast="45" xr6:coauthVersionMax="45" xr10:uidLastSave="{00000000-0000-0000-0000-000000000000}"/>
  <bookViews>
    <workbookView xWindow="-108" yWindow="-108" windowWidth="23256" windowHeight="12456" activeTab="4" xr2:uid="{00000000-000D-0000-FFFF-FFFF00000000}"/>
  </bookViews>
  <sheets>
    <sheet name="Instructions" sheetId="1" r:id="rId1"/>
    <sheet name="Grade" sheetId="2" r:id="rId2"/>
    <sheet name="Checks" sheetId="3" r:id="rId3"/>
    <sheet name="Provenance" sheetId="4" state="hidden" r:id="rId4"/>
    <sheet name="Results" sheetId="5" r:id="rId5"/>
  </sheets>
  <definedNames>
    <definedName name="_xlnm._FilterDatabase" localSheetId="1" hidden="1">Grade!$A$1:$J$51</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10" i="3" l="1"/>
  <c r="B9" i="3"/>
  <c r="B8" i="3"/>
  <c r="B7" i="3"/>
  <c r="B6" i="3"/>
  <c r="B5" i="3"/>
  <c r="B2" i="3"/>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 r="B4" i="3" s="1"/>
  <c r="B3" i="3" l="1"/>
</calcChain>
</file>

<file path=xl/sharedStrings.xml><?xml version="1.0" encoding="utf-8"?>
<sst xmlns="http://schemas.openxmlformats.org/spreadsheetml/2006/main" count="964" uniqueCount="318">
  <si>
    <t>Fragrance retrieval relevance study</t>
  </si>
  <si>
    <t>Grade each of the 50 rows in the Grade sheet.</t>
  </si>
  <si>
    <t>What is being judged?</t>
  </si>
  <si>
    <t>Whether this retrieved material's odor suits the shown brand aesthetic. Do not judge the finished fragrance.</t>
  </si>
  <si>
    <t>Grade 0</t>
  </si>
  <si>
    <t>Odor clearly conflicts with the brand aesthetic.</t>
  </si>
  <si>
    <t>Grade 1</t>
  </si>
  <si>
    <t>Plausible but generic or weakly connected.</t>
  </si>
  <si>
    <t>Grade 2</t>
  </si>
  <si>
    <t>Specific and credible fit to the brand aesthetic.</t>
  </si>
  <si>
    <t>What to fill</t>
  </si>
  <si>
    <t>Enter 0, 1, or 2 in the yellow grade column. Add a short reason, especially for 0 and 2.</t>
  </si>
  <si>
    <t>Do not edit</t>
  </si>
  <si>
    <t>Keep case, material, odor, and hidden hit ID unchanged. Rows are shuffled and rank is not shown.</t>
  </si>
  <si>
    <t>Before returning</t>
  </si>
  <si>
    <t>The Checks sheet should show 50 graded, 0 missing, and 0 invalid.</t>
  </si>
  <si>
    <t>Assessor</t>
  </si>
  <si>
    <t>Date</t>
  </si>
  <si>
    <t>hit_id</t>
  </si>
  <si>
    <t>case_id</t>
  </si>
  <si>
    <t>brand_item</t>
  </si>
  <si>
    <t>mood</t>
  </si>
  <si>
    <t>narrative</t>
  </si>
  <si>
    <t>ingredient</t>
  </si>
  <si>
    <t>odor_descriptors</t>
  </si>
  <si>
    <t>relevance_0_1_2</t>
  </si>
  <si>
    <t>reason</t>
  </si>
  <si>
    <t>status</t>
  </si>
  <si>
    <t>C01-a10f28a5</t>
  </si>
  <si>
    <t>C01</t>
  </si>
  <si>
    <t>gaming laptop</t>
  </si>
  <si>
    <t>aggressive; high-performance; tech-forward; intense</t>
  </si>
  <si>
    <t>The gaming laptop exudes an aggressive and high-performance aura, with its matte black and vibrant red accents. Its cool color temperature and sleek metallic textures suggest a tech-forward and intense experience, capturing the essence of digital adrenaline.</t>
  </si>
  <si>
    <t>menthone-8-thioacetate</t>
  </si>
  <si>
    <t>currant bud black currant bud; herbal; fruity; catty; buchu like note; catty ribes note</t>
  </si>
  <si>
    <t>for something that is cool and modern, I don’t think fruit suits best, but I can see the vision where it is going</t>
  </si>
  <si>
    <t>C01-ea7ed5a3</t>
  </si>
  <si>
    <t>4-methyl-3-sulfanylpentan-2-one</t>
  </si>
  <si>
    <t>currant black currant; berry; fruity; blackcurrant</t>
  </si>
  <si>
    <t xml:space="preserve">blackcurrant does not really suit something that is techy </t>
  </si>
  <si>
    <t>C01-9f846b0f</t>
  </si>
  <si>
    <t>isospirene</t>
  </si>
  <si>
    <t>fruity; currant black currant; berry</t>
  </si>
  <si>
    <t>C01-3de58e13</t>
  </si>
  <si>
    <t>delta-damascone</t>
  </si>
  <si>
    <t>sweet; currant bud black currant bud; natural; petal; floral; rose; fruity; black currant; rosy; fruity (black currant) odor (see comments)</t>
  </si>
  <si>
    <t>this is okay, because when adding with rose, I can see the vision of the complex aroma and not only something sweet, but something refreshing. Approved.</t>
  </si>
  <si>
    <t>C01-86d3b622</t>
  </si>
  <si>
    <t>etaspirene</t>
  </si>
  <si>
    <t>fruity; currant black currant; berry; blackcurrant; green</t>
  </si>
  <si>
    <t>C01-48631abe</t>
  </si>
  <si>
    <t>3-mercaptoheptan-4-one</t>
  </si>
  <si>
    <t>currant bud black currant bud; herbal; buchu; green; grapefruit</t>
  </si>
  <si>
    <t>too sweet</t>
  </si>
  <si>
    <t>C01-6f69883f</t>
  </si>
  <si>
    <t>alpha-damascone</t>
  </si>
  <si>
    <t>sweet; berry; floral; rose; fruity; apple; green; woody; currant black currant; black currant; plum; mint; odour of rose; blackurrant and mint with a rich plum undertone</t>
  </si>
  <si>
    <t>the complex aroma can be envisioned</t>
  </si>
  <si>
    <t>C01-f8cb3f62</t>
  </si>
  <si>
    <t>p-mentha-8-thiol-3-one</t>
  </si>
  <si>
    <t>sulfurous; berry; buchu; fruity; tropical; raspberry; green; minty; peach; catty; "catty" aroma; dull fruity black currant flavor</t>
  </si>
  <si>
    <t>too sweet and cold flavor.</t>
  </si>
  <si>
    <t>C01-d2836371</t>
  </si>
  <si>
    <t>labienoxime</t>
  </si>
  <si>
    <t>currant bud black currant bud; floral; herbal; rose; green; grapefruit; sage</t>
  </si>
  <si>
    <t>okay</t>
  </si>
  <si>
    <t>C01-ec6d6023</t>
  </si>
  <si>
    <t>2,2,4,4,6,6-hexamethyl-1,3,5-trithiane</t>
  </si>
  <si>
    <t>currant bud black currant bud; meaty; sulfurous; blackberry; catty; fruity; tropical; cooling; burnt; green; earthy; grapefruit; chicken; sulfuraceous odor; buchu; tropical &amp; meat and poultry like; blackcurrant</t>
  </si>
  <si>
    <t>interesting combination of aroma, but meaty flavor, I don't think it suits well, but can see where its going.</t>
  </si>
  <si>
    <t>C02-17653c27</t>
  </si>
  <si>
    <t>C02</t>
  </si>
  <si>
    <t>batik shirt</t>
  </si>
  <si>
    <t>elegant; confident; cultured; refined</t>
  </si>
  <si>
    <t>The batik shirt exudes a sense of refined elegance and cultured confidence, with its deep navy blue and gold metallic hues. The smooth fabric and embroidered patterns create a sophisticated texture, set against a minimalist backdrop that enhances its timeless appeal.</t>
  </si>
  <si>
    <t>(2-isopropoxyethyl)benzene</t>
  </si>
  <si>
    <t>metallic; spicy; foliage; rose; plastic; watercress; green</t>
  </si>
  <si>
    <t>for batik shirt its quite simple, as long as it contains flowery aroma smell, it is okay.</t>
  </si>
  <si>
    <t>C02-616b175d</t>
  </si>
  <si>
    <t>1-hexen-3-one</t>
  </si>
  <si>
    <t>vegetable; cooked; metallic; green; green metallic; plastic; cooked artichoke</t>
  </si>
  <si>
    <t xml:space="preserve">no plastic smell. </t>
  </si>
  <si>
    <t>C02-df94b280</t>
  </si>
  <si>
    <t>5-methyl-2-hepten-4-one</t>
  </si>
  <si>
    <t>hazelnut; nutty; metallic; characteristic hazelnut; somewhat metallic odor; taste in dilution</t>
  </si>
  <si>
    <t>batik shouldn't be too nutty</t>
  </si>
  <si>
    <t>C02-24c5278b</t>
  </si>
  <si>
    <t>nerylacetone</t>
  </si>
  <si>
    <t>metallic; fatty</t>
  </si>
  <si>
    <t>no fatty</t>
  </si>
  <si>
    <t>C02-b1d15156</t>
  </si>
  <si>
    <t>dihydrofarnesol</t>
  </si>
  <si>
    <t>floral; metallic; cyclamen</t>
  </si>
  <si>
    <t>floral, okay</t>
  </si>
  <si>
    <t>C02-a5ed1ead</t>
  </si>
  <si>
    <t>4-hexen-3-one, (4z)-</t>
  </si>
  <si>
    <t>spicy; green; tropical; metallic; horseradish; pungent; rum; mustard; tropical &amp; metallic</t>
  </si>
  <si>
    <t>this is good</t>
  </si>
  <si>
    <t>C02-c01903bc</t>
  </si>
  <si>
    <t>5-methyl-3-hexen-2-one</t>
  </si>
  <si>
    <t>metallic; berry; cheesy; somewhat blue cheese; metallic and berry-like character</t>
  </si>
  <si>
    <t>no cheese smell</t>
  </si>
  <si>
    <t>C02-3a00bb3d</t>
  </si>
  <si>
    <t>1-hepten-3-one</t>
  </si>
  <si>
    <t>metallic</t>
  </si>
  <si>
    <t>no metallic only type of smell</t>
  </si>
  <si>
    <t>C02-62b7e4bb</t>
  </si>
  <si>
    <t>2-butoxyethylbenzene</t>
  </si>
  <si>
    <t>metallic; mushroom; floral; watercress; green; gardenia</t>
  </si>
  <si>
    <t>adding mushroom aroma, is unique.</t>
  </si>
  <si>
    <t>C02-3e165f09</t>
  </si>
  <si>
    <t>1-hepten-3-ol</t>
  </si>
  <si>
    <t>metallic; spicy; mushroom; fruity; oily; tomato; green; earthy; acrylate; cheesy; vegetable; sweet; buttery; green-fruity-buttery-cheesey</t>
  </si>
  <si>
    <t>this is food kindlike of smell, does not suit well</t>
  </si>
  <si>
    <t>C03-3ce83e00</t>
  </si>
  <si>
    <t>C03</t>
  </si>
  <si>
    <t>Indomie Mi Goreng instant noodles package</t>
  </si>
  <si>
    <t>appetizing; energetic; authentic</t>
  </si>
  <si>
    <t>The Indomie Mi Goreng instant noodles package bursts with vibrant red and bright yellow, capturing an energetic and appetizing mood. The warm color palette and bold branding evoke a sense of authentic culinary delight, inviting consumers to indulge in a quick yet flavorful meal experience.</t>
  </si>
  <si>
    <t>tetradecanenitrile</t>
  </si>
  <si>
    <t>clean; fresh; wet; green; orangeflower</t>
  </si>
  <si>
    <t>can envision indomie smell.</t>
  </si>
  <si>
    <t>C03-b07b7a80</t>
  </si>
  <si>
    <t>myrac aldehyde 1</t>
  </si>
  <si>
    <t>aldehydic; clean; fruity; ozone; fresh outdoors; orange; fresh; green</t>
  </si>
  <si>
    <t>approved</t>
  </si>
  <si>
    <t>C03-b971ff28</t>
  </si>
  <si>
    <t>2-cyclohexylpropanal</t>
  </si>
  <si>
    <t>natural; fruity; dusty; fresh; green</t>
  </si>
  <si>
    <t>C03-88d5e85f</t>
  </si>
  <si>
    <t>decadienal</t>
  </si>
  <si>
    <t>sweet; fatty; chicken; oily; fresh; orange; green; citrus</t>
  </si>
  <si>
    <t>can see the vision of a food indomie-like smell</t>
  </si>
  <si>
    <t>C03-61d74320</t>
  </si>
  <si>
    <t>(r)-4-methylhexanal</t>
  </si>
  <si>
    <t>flowery; fresh; green; warm</t>
  </si>
  <si>
    <t>complimenets the other smell</t>
  </si>
  <si>
    <t>C03-758df514</t>
  </si>
  <si>
    <t>orange oil</t>
  </si>
  <si>
    <t>citrus; fresh; sharp</t>
  </si>
  <si>
    <t>yes, but this type of noodle is not citrus type</t>
  </si>
  <si>
    <t>C03-564690b2</t>
  </si>
  <si>
    <t>nonyl anthranilate</t>
  </si>
  <si>
    <t>sweet; mandarin; orange; citrus; fresh; tangerine in dilution; fresh peel like notes</t>
  </si>
  <si>
    <t>with a dilution citrus smell, its okay and better</t>
  </si>
  <si>
    <t>C03-fdc6f9d8</t>
  </si>
  <si>
    <t>6-methylheptanal</t>
  </si>
  <si>
    <t>juicy; sweet; orange; fresh; green</t>
  </si>
  <si>
    <t>yes</t>
  </si>
  <si>
    <t>C03-fdb79749</t>
  </si>
  <si>
    <t>2-methylheptanal</t>
  </si>
  <si>
    <t>green; fruity; fresh; orange; sweet; juicy; orange-like</t>
  </si>
  <si>
    <t>C03-db7b427a</t>
  </si>
  <si>
    <t>perillaldehyde</t>
  </si>
  <si>
    <t>sweet; lime; spicy; cinnamon; pungent; herbal; clove; grassy; fresh; orange; green; minty; cumin; citrus; fatty; herbaceous with cumin and dill notes</t>
  </si>
  <si>
    <t>this is so complete, can imagine the indomie smell</t>
  </si>
  <si>
    <t>C04-f7fb8d3c</t>
  </si>
  <si>
    <t>C04</t>
  </si>
  <si>
    <t>wristwatch</t>
  </si>
  <si>
    <t>sophisticated; timeless; luxurious; adventurous; refined</t>
  </si>
  <si>
    <t>This wristwatch embodies a sophisticated blend of deep forest green and brushed silver metal, exuding a timeless and luxurious aura. Its sleek and smooth textures, paired with warm gold accents, create a refined yet adventurous aesthetic that captures the essence of modern elegance.</t>
  </si>
  <si>
    <t>isocitral</t>
  </si>
  <si>
    <t>green</t>
  </si>
  <si>
    <t>lacks the vision, only green</t>
  </si>
  <si>
    <t>C04-03fb9dac</t>
  </si>
  <si>
    <t>hydroxypentene</t>
  </si>
  <si>
    <t>green; sharp; green note</t>
  </si>
  <si>
    <t>I can see green, but what type of green smell?</t>
  </si>
  <si>
    <t>C04-d6048e96</t>
  </si>
  <si>
    <t>pseudo-cyclocitral</t>
  </si>
  <si>
    <t>green; herbal; powerful; herbaceous; green odor</t>
  </si>
  <si>
    <t>C04-b38a544a</t>
  </si>
  <si>
    <t>not so vegetable type, but suits the brand</t>
  </si>
  <si>
    <t>C04-2d970890</t>
  </si>
  <si>
    <t>(+)-pinocarvone</t>
  </si>
  <si>
    <t>herbal; green</t>
  </si>
  <si>
    <t>C04-f762f673</t>
  </si>
  <si>
    <t>[s,(+)]-2-isothiocyanatobutane</t>
  </si>
  <si>
    <t>again, no vision just green</t>
  </si>
  <si>
    <t>C04-d593e53f</t>
  </si>
  <si>
    <t>undeca-1,3,5,8-tetraene</t>
  </si>
  <si>
    <t>green; fatty; green galbanum notes; useful in mint compositions</t>
  </si>
  <si>
    <t>mint type would suit this brand well</t>
  </si>
  <si>
    <t>C04-8eb9392e</t>
  </si>
  <si>
    <t>isoneral</t>
  </si>
  <si>
    <t>again, just green</t>
  </si>
  <si>
    <t>C04-b9f7606b</t>
  </si>
  <si>
    <t>interesting combination, can see where it goes.</t>
  </si>
  <si>
    <t>C04-6b5178c1</t>
  </si>
  <si>
    <t>C05-dd96c568</t>
  </si>
  <si>
    <t>C05</t>
  </si>
  <si>
    <t>gold floral brooch</t>
  </si>
  <si>
    <t>elegant; artisanal; timeless luxury</t>
  </si>
  <si>
    <t>The gold floral brooch exudes an air of timeless luxury with its brushed gold and pearl white hues. Its elegant design and artisanal craftsmanship create a sense of whispered elegance, capturing the essence of sunlit opulence.</t>
  </si>
  <si>
    <t>(r)-2-phenylpropanal</t>
  </si>
  <si>
    <t>floral</t>
  </si>
  <si>
    <t>should be elegant, and floral smell tend to be elegant, approved</t>
  </si>
  <si>
    <t>C05-aebfa044</t>
  </si>
  <si>
    <t>1,1-bis(phenethyloxy)ethane</t>
  </si>
  <si>
    <t>rose; warm; leafy; balsamic; floral; leafy with warm floral; balsamic rosy notes</t>
  </si>
  <si>
    <t>aprooved</t>
  </si>
  <si>
    <t>C05-493bcbc5</t>
  </si>
  <si>
    <t>(+)-hydroxycitronellal</t>
  </si>
  <si>
    <t>C05-6a9bc42a</t>
  </si>
  <si>
    <t>squalene</t>
  </si>
  <si>
    <t>C05-663bd883</t>
  </si>
  <si>
    <t>p-butoxytoluene</t>
  </si>
  <si>
    <t>floral; ylang</t>
  </si>
  <si>
    <t>C05-7653697a</t>
  </si>
  <si>
    <t>2,4-difurfurylfuran</t>
  </si>
  <si>
    <t>floral; fruity</t>
  </si>
  <si>
    <t>C05-dd2652f9</t>
  </si>
  <si>
    <t>acetylisoeugenol</t>
  </si>
  <si>
    <t>clove; spicy; fruity; balsamic; floral; fruity-floral; clove-like; warm sweet taste</t>
  </si>
  <si>
    <t>I don’t think it should be sweet balsamic fruity smell, so just nice</t>
  </si>
  <si>
    <t>C05-11281eb7</t>
  </si>
  <si>
    <t>(?)-hydroxycitronellal</t>
  </si>
  <si>
    <t>C05-5f45c393</t>
  </si>
  <si>
    <t>dihydrodamascone</t>
  </si>
  <si>
    <t>C05-a70de7ad</t>
  </si>
  <si>
    <t>Check</t>
  </si>
  <si>
    <t>Value</t>
  </si>
  <si>
    <t>Expected</t>
  </si>
  <si>
    <t>Rows</t>
  </si>
  <si>
    <t>Graded</t>
  </si>
  <si>
    <t>Missing</t>
  </si>
  <si>
    <t>Invalid</t>
  </si>
  <si>
    <t>C01 rows</t>
  </si>
  <si>
    <t>C02 rows</t>
  </si>
  <si>
    <t>C03 rows</t>
  </si>
  <si>
    <t>C04 rows</t>
  </si>
  <si>
    <t>C05 rows</t>
  </si>
  <si>
    <t>execution_id</t>
  </si>
  <si>
    <t>query</t>
  </si>
  <si>
    <t>rank</t>
  </si>
  <si>
    <t>display_name</t>
  </si>
  <si>
    <t>sources</t>
  </si>
  <si>
    <t>cid</t>
  </si>
  <si>
    <t>Axioo_Pongo_001</t>
  </si>
  <si>
    <t>gaming laptop aggressive high-performance tech-forward intense matte glossy sleek metallic diagonal product showcase dual perspective matte black vibrant red dark charcoal glowing red backlight electric pulse digital adrenaline intense powerful rich deep dramatic cool the gaming laptop exudes an aggressive and high-performance aura, with its matte black and vibrant red accents. its cool color temperature and sleek metallic textures suggest a tech-forward and intense experience, capturing the essence of digital adrenaline.</t>
  </si>
  <si>
    <t>1</t>
  </si>
  <si>
    <t>goodscents; leffingwell</t>
  </si>
  <si>
    <t>5365916</t>
  </si>
  <si>
    <t>2</t>
  </si>
  <si>
    <t>goodscents</t>
  </si>
  <si>
    <t>6432934</t>
  </si>
  <si>
    <t>3</t>
  </si>
  <si>
    <t>goodscents; ifra_2019</t>
  </si>
  <si>
    <t>22219099</t>
  </si>
  <si>
    <t>4</t>
  </si>
  <si>
    <t>116740</t>
  </si>
  <si>
    <t>5</t>
  </si>
  <si>
    <t>175606</t>
  </si>
  <si>
    <t>6</t>
  </si>
  <si>
    <t>3017418</t>
  </si>
  <si>
    <t>7</t>
  </si>
  <si>
    <t>goodscents; leffingwell; ifra_2019</t>
  </si>
  <si>
    <t>5366077</t>
  </si>
  <si>
    <t>8</t>
  </si>
  <si>
    <t>13233</t>
  </si>
  <si>
    <t>9</t>
  </si>
  <si>
    <t>61982</t>
  </si>
  <si>
    <t>10</t>
  </si>
  <si>
    <t>19802217</t>
  </si>
  <si>
    <t>BatikKeris_001</t>
  </si>
  <si>
    <t>batik shirt elegant confident cultured refined embroidered pattern smooth fabric structured weave three-quarter portrait minimalist backdrop deep navy blue gold metallic cream ivory dark charcoal woven elegance golden dusk balanced rounded warm comfortable neutral the batik shirt exudes a sense of refined elegance and cultured confidence, with its deep navy blue and gold metallic hues. the smooth fabric and embroidered patterns create a sophisticated texture, set against a minimalist backdrop that enhances its timeless appeal.</t>
  </si>
  <si>
    <t>5280341</t>
  </si>
  <si>
    <t>15395</t>
  </si>
  <si>
    <t>1713001</t>
  </si>
  <si>
    <t>leffingwell</t>
  </si>
  <si>
    <t>5363140</t>
  </si>
  <si>
    <t>520420</t>
  </si>
  <si>
    <t>79240</t>
  </si>
  <si>
    <t>5362588</t>
  </si>
  <si>
    <t>21057</t>
  </si>
  <si>
    <t>5358374</t>
  </si>
  <si>
    <t>106442</t>
  </si>
  <si>
    <t>Indomie_001</t>
  </si>
  <si>
    <t>indomie mi goreng instant noodles package appetizing energetic authentic smooth glossy crispy bold branding centered product shot appetizing arrangement vibrant red (#ff0000) bright yellow (#ffff00) fresh green (#00ff00) rich orange (#ffa500) crisp white (#ffffff) golden brown (#d2691e) culinary warmth vibrant zest bold vibrant bright energetic sparkling warm the indomie mi goreng instant noodles package bursts with vibrant red and bright yellow, capturing an energetic and appetizing mood. the warm color palette and bold branding evoke a sense of authentic culinary delight, inviting consumers to indulge in a quick yet flavorful meal experience.</t>
  </si>
  <si>
    <t>104307</t>
  </si>
  <si>
    <t>88571201</t>
  </si>
  <si>
    <t>86044</t>
  </si>
  <si>
    <t>103649</t>
  </si>
  <si>
    <t>ifra_2019</t>
  </si>
  <si>
    <t>62161</t>
  </si>
  <si>
    <t>64678</t>
  </si>
  <si>
    <t>95560</t>
  </si>
  <si>
    <t>16441</t>
  </si>
  <si>
    <t>3018362</t>
  </si>
  <si>
    <t>16899</t>
  </si>
  <si>
    <t>Singa_Watch_001</t>
  </si>
  <si>
    <t>wristwatch sophisticated timeless luxurious adventurous refined metallic luminous smooth sleek textured bezel centered product shot clean white background deep forest green brushed silver metal warm gold luminous mint green black bezel forest twilight metallic elegance balanced rounded warm comfortable neutral this wristwatch embodies a sophisticated blend of deep forest green and brushed silver metal, exuding a timeless and luxurious aura. its sleek and smooth textures, paired with warm gold accents, create a refined yet adventurous aesthetic that captures the essence of modern elegance.</t>
  </si>
  <si>
    <t>737359</t>
  </si>
  <si>
    <t>6428928</t>
  </si>
  <si>
    <t>20837773</t>
  </si>
  <si>
    <t>10012081</t>
  </si>
  <si>
    <t>122491</t>
  </si>
  <si>
    <t>102680</t>
  </si>
  <si>
    <t>53438915</t>
  </si>
  <si>
    <t>Tulola_Jewellery_001</t>
  </si>
  <si>
    <t>gold floral brooch elegant artisanal timeless luxury gilded metal smooth pearl rough stone wood grain close-up still life shallow depth of field brushed gold pearl white warm metallic sheen sunlit opulence whispered elegance gentle calm smooth quiet intimate warm the gold floral brooch exudes an air of timeless luxury with its brushed gold and pearl white hues. its elegant design and artisanal craftsmanship create a sense of whispered elegance, capturing the essence of sunlit opulence.</t>
  </si>
  <si>
    <t>638072</t>
  </si>
  <si>
    <t>66337</t>
  </si>
  <si>
    <t>101592</t>
  </si>
  <si>
    <t>876160</t>
  </si>
  <si>
    <t>637756</t>
  </si>
  <si>
    <t>53423642</t>
  </si>
  <si>
    <t>6450281</t>
  </si>
  <si>
    <t>1550260</t>
  </si>
  <si>
    <t>1715134</t>
  </si>
  <si>
    <t>study_metadata_json</t>
  </si>
  <si>
    <t>{"cases": 5, "catalog_sha256": "31e80027397d8182b9eac9d3483589aece8682a42e9dfd10bb0281d8990d6633", "hits": 50, "label_scale": {"0": "odor clearly conflicts with the brand aesthetic", "1": "plausible but generic or weakly connected", "2": "specific and credible fit to the brand aesthetic"}, "retriever": "lsa_knn", "top_k": 10, "unit": "retrieved ingredient, not a finished fragrance"}</t>
  </si>
  <si>
    <t>precision_at_5</t>
  </si>
  <si>
    <t>strong_fit_at_5</t>
  </si>
  <si>
    <t>precision_at_10</t>
  </si>
  <si>
    <t>strong_fit_at_10</t>
  </si>
  <si>
    <t>Macro mean</t>
  </si>
  <si>
    <t>Steven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</si>
</sst>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5"/>
      <name val="Calibri"/>
    </font>
    <font>
      <b/>
      <sz val="11"/>
      <color rgb="FFFFFFFF"/>
      <name val="Calibri"/>
    </font>
  </fonts>
  <fills count="4">
    <fill>
      <patternFill patternType="none"/>
    </fill>
    <fill>
      <patternFill patternType="gray125"/>
    </fill>
    <fill>
      <patternFill patternType="solid">
        <fgColor rgb="FFFFF2CC"/>
      </patternFill>
    </fill>
    <fill>
      <patternFill patternType="solid">
        <fgColor rgb="FF254568"/>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vertical="top" wrapText="1"/>
    </xf>
    <xf numFmtId="0" fontId="2" fillId="3" borderId="0" xfId="0" applyFont="1" applyFill="1"/>
    <xf numFmtId="0" fontId="0" fillId="2" borderId="0" xfId="0" applyFill="1" applyAlignment="1">
      <alignment vertical="top" wrapText="1"/>
    </xf>
    <xf numFmtId="14" fontId="0" fillId="0" borderId="0" xfId="0" applyNumberForma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pane ySplit="1" topLeftCell="A2" activePane="bottomLeft" state="frozen"/>
      <selection pane="bottomLeft" activeCell="B13" sqref="B13"/>
    </sheetView>
  </sheetViews>
  <sheetFormatPr defaultRowHeight="14.4" x14ac:dyDescent="0.3"/>
  <cols>
    <col min="1" max="1" width="50.77734375" customWidth="1"/>
    <col min="2" max="2" width="105" customWidth="1"/>
  </cols>
  <sheetData>
    <row r="1" spans="1:2" ht="19.8" customHeight="1" x14ac:dyDescent="0.4">
      <c r="A1" s="1" t="s">
        <v>0</v>
      </c>
      <c r="B1" s="2" t="s">
        <v>1</v>
      </c>
    </row>
    <row r="2" spans="1:2" x14ac:dyDescent="0.3">
      <c r="A2" t="s">
        <v>2</v>
      </c>
      <c r="B2" s="2" t="s">
        <v>3</v>
      </c>
    </row>
    <row r="3" spans="1:2" x14ac:dyDescent="0.3">
      <c r="A3" t="s">
        <v>4</v>
      </c>
      <c r="B3" s="2" t="s">
        <v>5</v>
      </c>
    </row>
    <row r="4" spans="1:2" x14ac:dyDescent="0.3">
      <c r="A4" t="s">
        <v>6</v>
      </c>
      <c r="B4" s="2" t="s">
        <v>7</v>
      </c>
    </row>
    <row r="5" spans="1:2" x14ac:dyDescent="0.3">
      <c r="A5" t="s">
        <v>8</v>
      </c>
      <c r="B5" s="2" t="s">
        <v>9</v>
      </c>
    </row>
    <row r="6" spans="1:2" x14ac:dyDescent="0.3">
      <c r="A6" t="s">
        <v>10</v>
      </c>
      <c r="B6" s="2" t="s">
        <v>11</v>
      </c>
    </row>
    <row r="7" spans="1:2" x14ac:dyDescent="0.3">
      <c r="A7" t="s">
        <v>12</v>
      </c>
      <c r="B7" s="2" t="s">
        <v>13</v>
      </c>
    </row>
    <row r="8" spans="1:2" x14ac:dyDescent="0.3">
      <c r="A8" t="s">
        <v>14</v>
      </c>
      <c r="B8" s="2" t="s">
        <v>15</v>
      </c>
    </row>
    <row r="9" spans="1:2" x14ac:dyDescent="0.3">
      <c r="A9" t="s">
        <v>16</v>
      </c>
      <c r="B9" s="2" t="s">
        <v>317</v>
      </c>
    </row>
    <row r="10" spans="1:2" x14ac:dyDescent="0.3">
      <c r="A10" t="s">
        <v>17</v>
      </c>
      <c r="B10" s="5">
        <v>46291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1"/>
  <sheetViews>
    <sheetView workbookViewId="0">
      <pane xSplit="2" ySplit="1" topLeftCell="C7" activePane="bottomRight" state="frozen"/>
      <selection pane="topRight"/>
      <selection pane="bottomLeft"/>
      <selection pane="bottomRight" activeCell="I52" sqref="I52"/>
    </sheetView>
  </sheetViews>
  <sheetFormatPr defaultRowHeight="14.4" x14ac:dyDescent="0.3"/>
  <cols>
    <col min="1" max="1" width="13" hidden="1" customWidth="1"/>
    <col min="2" max="2" width="12" customWidth="1"/>
    <col min="3" max="3" width="27" customWidth="1"/>
    <col min="4" max="4" width="31" customWidth="1"/>
    <col min="5" max="5" width="65" customWidth="1"/>
    <col min="6" max="6" width="25" customWidth="1"/>
    <col min="7" max="7" width="55" customWidth="1"/>
    <col min="8" max="8" width="19" customWidth="1"/>
    <col min="9" max="9" width="36" customWidth="1"/>
    <col min="10" max="10" width="14" customWidth="1"/>
  </cols>
  <sheetData>
    <row r="1" spans="1:10" x14ac:dyDescent="0.3">
      <c r="A1" s="3" t="s">
        <v>18</v>
      </c>
      <c r="B1" s="3" t="s">
        <v>19</v>
      </c>
      <c r="C1" s="3" t="s">
        <v>20</v>
      </c>
      <c r="D1" s="3" t="s">
        <v>21</v>
      </c>
      <c r="E1" s="3" t="s">
        <v>22</v>
      </c>
      <c r="F1" s="3" t="s">
        <v>23</v>
      </c>
      <c r="G1" s="3" t="s">
        <v>24</v>
      </c>
      <c r="H1" s="3" t="s">
        <v>25</v>
      </c>
      <c r="I1" s="3" t="s">
        <v>26</v>
      </c>
      <c r="J1" s="3" t="s">
        <v>27</v>
      </c>
    </row>
    <row r="2" spans="1:10" ht="64.05" customHeight="1" x14ac:dyDescent="0.3">
      <c r="A2" s="2" t="s">
        <v>28</v>
      </c>
      <c r="B2" s="2" t="s">
        <v>29</v>
      </c>
      <c r="C2" s="2" t="s">
        <v>30</v>
      </c>
      <c r="D2" s="2" t="s">
        <v>31</v>
      </c>
      <c r="E2" s="2" t="s">
        <v>32</v>
      </c>
      <c r="F2" s="2" t="s">
        <v>33</v>
      </c>
      <c r="G2" s="2" t="s">
        <v>34</v>
      </c>
      <c r="H2" s="4">
        <v>1</v>
      </c>
      <c r="I2" s="2" t="s">
        <v>35</v>
      </c>
      <c r="J2" s="2" t="str">
        <f t="shared" ref="J2:J33" si="0">IF(H2="","MISSING",IF(OR(H2=0,H2=1,H2=2,H2="0",H2="1",H2="2"),"OK","INVALID"))</f>
        <v>OK</v>
      </c>
    </row>
    <row r="3" spans="1:10" ht="64.05" customHeight="1" x14ac:dyDescent="0.3">
      <c r="A3" s="2" t="s">
        <v>36</v>
      </c>
      <c r="B3" s="2" t="s">
        <v>29</v>
      </c>
      <c r="C3" s="2" t="s">
        <v>30</v>
      </c>
      <c r="D3" s="2" t="s">
        <v>31</v>
      </c>
      <c r="E3" s="2" t="s">
        <v>32</v>
      </c>
      <c r="F3" s="2" t="s">
        <v>37</v>
      </c>
      <c r="G3" s="2" t="s">
        <v>38</v>
      </c>
      <c r="H3" s="4">
        <v>1</v>
      </c>
      <c r="I3" s="2" t="s">
        <v>39</v>
      </c>
      <c r="J3" s="2" t="str">
        <f t="shared" si="0"/>
        <v>OK</v>
      </c>
    </row>
    <row r="4" spans="1:10" ht="64.05" customHeight="1" x14ac:dyDescent="0.3">
      <c r="A4" s="2" t="s">
        <v>40</v>
      </c>
      <c r="B4" s="2" t="s">
        <v>29</v>
      </c>
      <c r="C4" s="2" t="s">
        <v>30</v>
      </c>
      <c r="D4" s="2" t="s">
        <v>31</v>
      </c>
      <c r="E4" s="2" t="s">
        <v>32</v>
      </c>
      <c r="F4" s="2" t="s">
        <v>41</v>
      </c>
      <c r="G4" s="2" t="s">
        <v>42</v>
      </c>
      <c r="H4" s="4">
        <v>1</v>
      </c>
      <c r="I4" s="2" t="s">
        <v>39</v>
      </c>
      <c r="J4" s="2" t="str">
        <f t="shared" si="0"/>
        <v>OK</v>
      </c>
    </row>
    <row r="5" spans="1:10" ht="64.05" customHeight="1" x14ac:dyDescent="0.3">
      <c r="A5" s="2" t="s">
        <v>43</v>
      </c>
      <c r="B5" s="2" t="s">
        <v>29</v>
      </c>
      <c r="C5" s="2" t="s">
        <v>30</v>
      </c>
      <c r="D5" s="2" t="s">
        <v>31</v>
      </c>
      <c r="E5" s="2" t="s">
        <v>32</v>
      </c>
      <c r="F5" s="2" t="s">
        <v>44</v>
      </c>
      <c r="G5" s="2" t="s">
        <v>45</v>
      </c>
      <c r="H5" s="4">
        <v>2</v>
      </c>
      <c r="I5" s="2" t="s">
        <v>46</v>
      </c>
      <c r="J5" s="2" t="str">
        <f t="shared" si="0"/>
        <v>OK</v>
      </c>
    </row>
    <row r="6" spans="1:10" ht="64.05" customHeight="1" x14ac:dyDescent="0.3">
      <c r="A6" s="2" t="s">
        <v>47</v>
      </c>
      <c r="B6" s="2" t="s">
        <v>29</v>
      </c>
      <c r="C6" s="2" t="s">
        <v>30</v>
      </c>
      <c r="D6" s="2" t="s">
        <v>31</v>
      </c>
      <c r="E6" s="2" t="s">
        <v>32</v>
      </c>
      <c r="F6" s="2" t="s">
        <v>48</v>
      </c>
      <c r="G6" s="2" t="s">
        <v>49</v>
      </c>
      <c r="H6" s="4">
        <v>1</v>
      </c>
      <c r="I6" s="2" t="s">
        <v>39</v>
      </c>
      <c r="J6" s="2" t="str">
        <f t="shared" si="0"/>
        <v>OK</v>
      </c>
    </row>
    <row r="7" spans="1:10" ht="64.05" customHeight="1" x14ac:dyDescent="0.3">
      <c r="A7" s="2" t="s">
        <v>50</v>
      </c>
      <c r="B7" s="2" t="s">
        <v>29</v>
      </c>
      <c r="C7" s="2" t="s">
        <v>30</v>
      </c>
      <c r="D7" s="2" t="s">
        <v>31</v>
      </c>
      <c r="E7" s="2" t="s">
        <v>32</v>
      </c>
      <c r="F7" s="2" t="s">
        <v>51</v>
      </c>
      <c r="G7" s="2" t="s">
        <v>52</v>
      </c>
      <c r="H7" s="4">
        <v>1</v>
      </c>
      <c r="I7" s="2" t="s">
        <v>53</v>
      </c>
      <c r="J7" s="2" t="str">
        <f t="shared" si="0"/>
        <v>OK</v>
      </c>
    </row>
    <row r="8" spans="1:10" ht="64.05" customHeight="1" x14ac:dyDescent="0.3">
      <c r="A8" s="2" t="s">
        <v>54</v>
      </c>
      <c r="B8" s="2" t="s">
        <v>29</v>
      </c>
      <c r="C8" s="2" t="s">
        <v>30</v>
      </c>
      <c r="D8" s="2" t="s">
        <v>31</v>
      </c>
      <c r="E8" s="2" t="s">
        <v>32</v>
      </c>
      <c r="F8" s="2" t="s">
        <v>55</v>
      </c>
      <c r="G8" s="2" t="s">
        <v>56</v>
      </c>
      <c r="H8" s="4">
        <v>2</v>
      </c>
      <c r="I8" s="2" t="s">
        <v>57</v>
      </c>
      <c r="J8" s="2" t="str">
        <f t="shared" si="0"/>
        <v>OK</v>
      </c>
    </row>
    <row r="9" spans="1:10" ht="64.05" customHeight="1" x14ac:dyDescent="0.3">
      <c r="A9" s="2" t="s">
        <v>58</v>
      </c>
      <c r="B9" s="2" t="s">
        <v>29</v>
      </c>
      <c r="C9" s="2" t="s">
        <v>30</v>
      </c>
      <c r="D9" s="2" t="s">
        <v>31</v>
      </c>
      <c r="E9" s="2" t="s">
        <v>32</v>
      </c>
      <c r="F9" s="2" t="s">
        <v>59</v>
      </c>
      <c r="G9" s="2" t="s">
        <v>60</v>
      </c>
      <c r="H9" s="4">
        <v>1</v>
      </c>
      <c r="I9" s="2" t="s">
        <v>61</v>
      </c>
      <c r="J9" s="2" t="str">
        <f t="shared" si="0"/>
        <v>OK</v>
      </c>
    </row>
    <row r="10" spans="1:10" ht="64.05" customHeight="1" x14ac:dyDescent="0.3">
      <c r="A10" s="2" t="s">
        <v>62</v>
      </c>
      <c r="B10" s="2" t="s">
        <v>29</v>
      </c>
      <c r="C10" s="2" t="s">
        <v>30</v>
      </c>
      <c r="D10" s="2" t="s">
        <v>31</v>
      </c>
      <c r="E10" s="2" t="s">
        <v>32</v>
      </c>
      <c r="F10" s="2" t="s">
        <v>63</v>
      </c>
      <c r="G10" s="2" t="s">
        <v>64</v>
      </c>
      <c r="H10" s="4">
        <v>2</v>
      </c>
      <c r="I10" s="2" t="s">
        <v>65</v>
      </c>
      <c r="J10" s="2" t="str">
        <f t="shared" si="0"/>
        <v>OK</v>
      </c>
    </row>
    <row r="11" spans="1:10" ht="64.05" customHeight="1" x14ac:dyDescent="0.3">
      <c r="A11" s="2" t="s">
        <v>66</v>
      </c>
      <c r="B11" s="2" t="s">
        <v>29</v>
      </c>
      <c r="C11" s="2" t="s">
        <v>30</v>
      </c>
      <c r="D11" s="2" t="s">
        <v>31</v>
      </c>
      <c r="E11" s="2" t="s">
        <v>32</v>
      </c>
      <c r="F11" s="2" t="s">
        <v>67</v>
      </c>
      <c r="G11" s="2" t="s">
        <v>68</v>
      </c>
      <c r="H11" s="4">
        <v>1</v>
      </c>
      <c r="I11" s="2" t="s">
        <v>69</v>
      </c>
      <c r="J11" s="2" t="str">
        <f t="shared" si="0"/>
        <v>OK</v>
      </c>
    </row>
    <row r="12" spans="1:10" ht="64.05" customHeight="1" x14ac:dyDescent="0.3">
      <c r="A12" s="2" t="s">
        <v>70</v>
      </c>
      <c r="B12" s="2" t="s">
        <v>71</v>
      </c>
      <c r="C12" s="2" t="s">
        <v>72</v>
      </c>
      <c r="D12" s="2" t="s">
        <v>73</v>
      </c>
      <c r="E12" s="2" t="s">
        <v>74</v>
      </c>
      <c r="F12" s="2" t="s">
        <v>75</v>
      </c>
      <c r="G12" s="2" t="s">
        <v>76</v>
      </c>
      <c r="H12" s="4">
        <v>2</v>
      </c>
      <c r="I12" s="2" t="s">
        <v>77</v>
      </c>
      <c r="J12" s="2" t="str">
        <f t="shared" si="0"/>
        <v>OK</v>
      </c>
    </row>
    <row r="13" spans="1:10" ht="64.05" customHeight="1" x14ac:dyDescent="0.3">
      <c r="A13" s="2" t="s">
        <v>78</v>
      </c>
      <c r="B13" s="2" t="s">
        <v>71</v>
      </c>
      <c r="C13" s="2" t="s">
        <v>72</v>
      </c>
      <c r="D13" s="2" t="s">
        <v>73</v>
      </c>
      <c r="E13" s="2" t="s">
        <v>74</v>
      </c>
      <c r="F13" s="2" t="s">
        <v>79</v>
      </c>
      <c r="G13" s="2" t="s">
        <v>80</v>
      </c>
      <c r="H13" s="4">
        <v>0</v>
      </c>
      <c r="I13" s="2" t="s">
        <v>81</v>
      </c>
      <c r="J13" s="2" t="str">
        <f t="shared" si="0"/>
        <v>OK</v>
      </c>
    </row>
    <row r="14" spans="1:10" ht="64.05" customHeight="1" x14ac:dyDescent="0.3">
      <c r="A14" s="2" t="s">
        <v>82</v>
      </c>
      <c r="B14" s="2" t="s">
        <v>71</v>
      </c>
      <c r="C14" s="2" t="s">
        <v>72</v>
      </c>
      <c r="D14" s="2" t="s">
        <v>73</v>
      </c>
      <c r="E14" s="2" t="s">
        <v>74</v>
      </c>
      <c r="F14" s="2" t="s">
        <v>83</v>
      </c>
      <c r="G14" s="2" t="s">
        <v>84</v>
      </c>
      <c r="H14" s="4">
        <v>1</v>
      </c>
      <c r="I14" s="2" t="s">
        <v>85</v>
      </c>
      <c r="J14" s="2" t="str">
        <f t="shared" si="0"/>
        <v>OK</v>
      </c>
    </row>
    <row r="15" spans="1:10" ht="64.05" customHeight="1" x14ac:dyDescent="0.3">
      <c r="A15" s="2" t="s">
        <v>86</v>
      </c>
      <c r="B15" s="2" t="s">
        <v>71</v>
      </c>
      <c r="C15" s="2" t="s">
        <v>72</v>
      </c>
      <c r="D15" s="2" t="s">
        <v>73</v>
      </c>
      <c r="E15" s="2" t="s">
        <v>74</v>
      </c>
      <c r="F15" s="2" t="s">
        <v>87</v>
      </c>
      <c r="G15" s="2" t="s">
        <v>88</v>
      </c>
      <c r="H15" s="4">
        <v>0</v>
      </c>
      <c r="I15" s="2" t="s">
        <v>89</v>
      </c>
      <c r="J15" s="2" t="str">
        <f t="shared" si="0"/>
        <v>OK</v>
      </c>
    </row>
    <row r="16" spans="1:10" ht="64.05" customHeight="1" x14ac:dyDescent="0.3">
      <c r="A16" s="2" t="s">
        <v>90</v>
      </c>
      <c r="B16" s="2" t="s">
        <v>71</v>
      </c>
      <c r="C16" s="2" t="s">
        <v>72</v>
      </c>
      <c r="D16" s="2" t="s">
        <v>73</v>
      </c>
      <c r="E16" s="2" t="s">
        <v>74</v>
      </c>
      <c r="F16" s="2" t="s">
        <v>91</v>
      </c>
      <c r="G16" s="2" t="s">
        <v>92</v>
      </c>
      <c r="H16" s="4">
        <v>2</v>
      </c>
      <c r="I16" s="2" t="s">
        <v>93</v>
      </c>
      <c r="J16" s="2" t="str">
        <f t="shared" si="0"/>
        <v>OK</v>
      </c>
    </row>
    <row r="17" spans="1:10" ht="64.05" customHeight="1" x14ac:dyDescent="0.3">
      <c r="A17" s="2" t="s">
        <v>94</v>
      </c>
      <c r="B17" s="2" t="s">
        <v>71</v>
      </c>
      <c r="C17" s="2" t="s">
        <v>72</v>
      </c>
      <c r="D17" s="2" t="s">
        <v>73</v>
      </c>
      <c r="E17" s="2" t="s">
        <v>74</v>
      </c>
      <c r="F17" s="2" t="s">
        <v>95</v>
      </c>
      <c r="G17" s="2" t="s">
        <v>96</v>
      </c>
      <c r="H17" s="4">
        <v>2</v>
      </c>
      <c r="I17" s="2" t="s">
        <v>97</v>
      </c>
      <c r="J17" s="2" t="str">
        <f t="shared" si="0"/>
        <v>OK</v>
      </c>
    </row>
    <row r="18" spans="1:10" ht="64.05" customHeight="1" x14ac:dyDescent="0.3">
      <c r="A18" s="2" t="s">
        <v>98</v>
      </c>
      <c r="B18" s="2" t="s">
        <v>71</v>
      </c>
      <c r="C18" s="2" t="s">
        <v>72</v>
      </c>
      <c r="D18" s="2" t="s">
        <v>73</v>
      </c>
      <c r="E18" s="2" t="s">
        <v>74</v>
      </c>
      <c r="F18" s="2" t="s">
        <v>99</v>
      </c>
      <c r="G18" s="2" t="s">
        <v>100</v>
      </c>
      <c r="H18" s="4">
        <v>0</v>
      </c>
      <c r="I18" s="2" t="s">
        <v>101</v>
      </c>
      <c r="J18" s="2" t="str">
        <f t="shared" si="0"/>
        <v>OK</v>
      </c>
    </row>
    <row r="19" spans="1:10" ht="64.05" customHeight="1" x14ac:dyDescent="0.3">
      <c r="A19" s="2" t="s">
        <v>102</v>
      </c>
      <c r="B19" s="2" t="s">
        <v>71</v>
      </c>
      <c r="C19" s="2" t="s">
        <v>72</v>
      </c>
      <c r="D19" s="2" t="s">
        <v>73</v>
      </c>
      <c r="E19" s="2" t="s">
        <v>74</v>
      </c>
      <c r="F19" s="2" t="s">
        <v>103</v>
      </c>
      <c r="G19" s="2" t="s">
        <v>104</v>
      </c>
      <c r="H19" s="4">
        <v>0</v>
      </c>
      <c r="I19" s="2" t="s">
        <v>105</v>
      </c>
      <c r="J19" s="2" t="str">
        <f t="shared" si="0"/>
        <v>OK</v>
      </c>
    </row>
    <row r="20" spans="1:10" ht="64.05" customHeight="1" x14ac:dyDescent="0.3">
      <c r="A20" s="2" t="s">
        <v>106</v>
      </c>
      <c r="B20" s="2" t="s">
        <v>71</v>
      </c>
      <c r="C20" s="2" t="s">
        <v>72</v>
      </c>
      <c r="D20" s="2" t="s">
        <v>73</v>
      </c>
      <c r="E20" s="2" t="s">
        <v>74</v>
      </c>
      <c r="F20" s="2" t="s">
        <v>107</v>
      </c>
      <c r="G20" s="2" t="s">
        <v>108</v>
      </c>
      <c r="H20" s="4">
        <v>1</v>
      </c>
      <c r="I20" s="2" t="s">
        <v>109</v>
      </c>
      <c r="J20" s="2" t="str">
        <f t="shared" si="0"/>
        <v>OK</v>
      </c>
    </row>
    <row r="21" spans="1:10" ht="64.05" customHeight="1" x14ac:dyDescent="0.3">
      <c r="A21" s="2" t="s">
        <v>110</v>
      </c>
      <c r="B21" s="2" t="s">
        <v>71</v>
      </c>
      <c r="C21" s="2" t="s">
        <v>72</v>
      </c>
      <c r="D21" s="2" t="s">
        <v>73</v>
      </c>
      <c r="E21" s="2" t="s">
        <v>74</v>
      </c>
      <c r="F21" s="2" t="s">
        <v>111</v>
      </c>
      <c r="G21" s="2" t="s">
        <v>112</v>
      </c>
      <c r="H21" s="4">
        <v>0</v>
      </c>
      <c r="I21" s="2" t="s">
        <v>113</v>
      </c>
      <c r="J21" s="2" t="str">
        <f t="shared" si="0"/>
        <v>OK</v>
      </c>
    </row>
    <row r="22" spans="1:10" ht="64.05" customHeight="1" x14ac:dyDescent="0.3">
      <c r="A22" s="2" t="s">
        <v>114</v>
      </c>
      <c r="B22" s="2" t="s">
        <v>115</v>
      </c>
      <c r="C22" s="2" t="s">
        <v>116</v>
      </c>
      <c r="D22" s="2" t="s">
        <v>117</v>
      </c>
      <c r="E22" s="2" t="s">
        <v>118</v>
      </c>
      <c r="F22" s="2" t="s">
        <v>119</v>
      </c>
      <c r="G22" s="2" t="s">
        <v>120</v>
      </c>
      <c r="H22" s="4">
        <v>2</v>
      </c>
      <c r="I22" s="2" t="s">
        <v>121</v>
      </c>
      <c r="J22" s="2" t="str">
        <f t="shared" si="0"/>
        <v>OK</v>
      </c>
    </row>
    <row r="23" spans="1:10" ht="64.05" customHeight="1" x14ac:dyDescent="0.3">
      <c r="A23" s="2" t="s">
        <v>122</v>
      </c>
      <c r="B23" s="2" t="s">
        <v>115</v>
      </c>
      <c r="C23" s="2" t="s">
        <v>116</v>
      </c>
      <c r="D23" s="2" t="s">
        <v>117</v>
      </c>
      <c r="E23" s="2" t="s">
        <v>118</v>
      </c>
      <c r="F23" s="2" t="s">
        <v>123</v>
      </c>
      <c r="G23" s="2" t="s">
        <v>124</v>
      </c>
      <c r="H23" s="4">
        <v>1</v>
      </c>
      <c r="I23" s="2" t="s">
        <v>125</v>
      </c>
      <c r="J23" s="2" t="str">
        <f t="shared" si="0"/>
        <v>OK</v>
      </c>
    </row>
    <row r="24" spans="1:10" ht="64.05" customHeight="1" x14ac:dyDescent="0.3">
      <c r="A24" s="2" t="s">
        <v>126</v>
      </c>
      <c r="B24" s="2" t="s">
        <v>115</v>
      </c>
      <c r="C24" s="2" t="s">
        <v>116</v>
      </c>
      <c r="D24" s="2" t="s">
        <v>117</v>
      </c>
      <c r="E24" s="2" t="s">
        <v>118</v>
      </c>
      <c r="F24" s="2" t="s">
        <v>127</v>
      </c>
      <c r="G24" s="2" t="s">
        <v>128</v>
      </c>
      <c r="H24" s="4">
        <v>2</v>
      </c>
      <c r="I24" s="2" t="s">
        <v>125</v>
      </c>
      <c r="J24" s="2" t="str">
        <f t="shared" si="0"/>
        <v>OK</v>
      </c>
    </row>
    <row r="25" spans="1:10" ht="64.05" customHeight="1" x14ac:dyDescent="0.3">
      <c r="A25" s="2" t="s">
        <v>129</v>
      </c>
      <c r="B25" s="2" t="s">
        <v>115</v>
      </c>
      <c r="C25" s="2" t="s">
        <v>116</v>
      </c>
      <c r="D25" s="2" t="s">
        <v>117</v>
      </c>
      <c r="E25" s="2" t="s">
        <v>118</v>
      </c>
      <c r="F25" s="2" t="s">
        <v>130</v>
      </c>
      <c r="G25" s="2" t="s">
        <v>131</v>
      </c>
      <c r="H25" s="4">
        <v>2</v>
      </c>
      <c r="I25" s="2" t="s">
        <v>132</v>
      </c>
      <c r="J25" s="2" t="str">
        <f t="shared" si="0"/>
        <v>OK</v>
      </c>
    </row>
    <row r="26" spans="1:10" ht="64.05" customHeight="1" x14ac:dyDescent="0.3">
      <c r="A26" s="2" t="s">
        <v>133</v>
      </c>
      <c r="B26" s="2" t="s">
        <v>115</v>
      </c>
      <c r="C26" s="2" t="s">
        <v>116</v>
      </c>
      <c r="D26" s="2" t="s">
        <v>117</v>
      </c>
      <c r="E26" s="2" t="s">
        <v>118</v>
      </c>
      <c r="F26" s="2" t="s">
        <v>134</v>
      </c>
      <c r="G26" s="2" t="s">
        <v>135</v>
      </c>
      <c r="H26" s="4">
        <v>1</v>
      </c>
      <c r="I26" s="2" t="s">
        <v>136</v>
      </c>
      <c r="J26" s="2" t="str">
        <f t="shared" si="0"/>
        <v>OK</v>
      </c>
    </row>
    <row r="27" spans="1:10" ht="64.05" customHeight="1" x14ac:dyDescent="0.3">
      <c r="A27" s="2" t="s">
        <v>137</v>
      </c>
      <c r="B27" s="2" t="s">
        <v>115</v>
      </c>
      <c r="C27" s="2" t="s">
        <v>116</v>
      </c>
      <c r="D27" s="2" t="s">
        <v>117</v>
      </c>
      <c r="E27" s="2" t="s">
        <v>118</v>
      </c>
      <c r="F27" s="2" t="s">
        <v>138</v>
      </c>
      <c r="G27" s="2" t="s">
        <v>139</v>
      </c>
      <c r="H27" s="4">
        <v>1</v>
      </c>
      <c r="I27" s="2" t="s">
        <v>140</v>
      </c>
      <c r="J27" s="2" t="str">
        <f t="shared" si="0"/>
        <v>OK</v>
      </c>
    </row>
    <row r="28" spans="1:10" ht="64.05" customHeight="1" x14ac:dyDescent="0.3">
      <c r="A28" s="2" t="s">
        <v>141</v>
      </c>
      <c r="B28" s="2" t="s">
        <v>115</v>
      </c>
      <c r="C28" s="2" t="s">
        <v>116</v>
      </c>
      <c r="D28" s="2" t="s">
        <v>117</v>
      </c>
      <c r="E28" s="2" t="s">
        <v>118</v>
      </c>
      <c r="F28" s="2" t="s">
        <v>142</v>
      </c>
      <c r="G28" s="2" t="s">
        <v>143</v>
      </c>
      <c r="H28" s="4">
        <v>2</v>
      </c>
      <c r="I28" s="2" t="s">
        <v>144</v>
      </c>
      <c r="J28" s="2" t="str">
        <f t="shared" si="0"/>
        <v>OK</v>
      </c>
    </row>
    <row r="29" spans="1:10" ht="64.05" customHeight="1" x14ac:dyDescent="0.3">
      <c r="A29" s="2" t="s">
        <v>145</v>
      </c>
      <c r="B29" s="2" t="s">
        <v>115</v>
      </c>
      <c r="C29" s="2" t="s">
        <v>116</v>
      </c>
      <c r="D29" s="2" t="s">
        <v>117</v>
      </c>
      <c r="E29" s="2" t="s">
        <v>118</v>
      </c>
      <c r="F29" s="2" t="s">
        <v>146</v>
      </c>
      <c r="G29" s="2" t="s">
        <v>147</v>
      </c>
      <c r="H29" s="4">
        <v>2</v>
      </c>
      <c r="I29" s="2" t="s">
        <v>148</v>
      </c>
      <c r="J29" s="2" t="str">
        <f t="shared" si="0"/>
        <v>OK</v>
      </c>
    </row>
    <row r="30" spans="1:10" ht="64.05" customHeight="1" x14ac:dyDescent="0.3">
      <c r="A30" s="2" t="s">
        <v>149</v>
      </c>
      <c r="B30" s="2" t="s">
        <v>115</v>
      </c>
      <c r="C30" s="2" t="s">
        <v>116</v>
      </c>
      <c r="D30" s="2" t="s">
        <v>117</v>
      </c>
      <c r="E30" s="2" t="s">
        <v>118</v>
      </c>
      <c r="F30" s="2" t="s">
        <v>150</v>
      </c>
      <c r="G30" s="2" t="s">
        <v>151</v>
      </c>
      <c r="H30" s="4">
        <v>2</v>
      </c>
      <c r="I30" s="2" t="s">
        <v>148</v>
      </c>
      <c r="J30" s="2" t="str">
        <f t="shared" si="0"/>
        <v>OK</v>
      </c>
    </row>
    <row r="31" spans="1:10" ht="64.05" customHeight="1" x14ac:dyDescent="0.3">
      <c r="A31" s="2" t="s">
        <v>152</v>
      </c>
      <c r="B31" s="2" t="s">
        <v>115</v>
      </c>
      <c r="C31" s="2" t="s">
        <v>116</v>
      </c>
      <c r="D31" s="2" t="s">
        <v>117</v>
      </c>
      <c r="E31" s="2" t="s">
        <v>118</v>
      </c>
      <c r="F31" s="2" t="s">
        <v>153</v>
      </c>
      <c r="G31" s="2" t="s">
        <v>154</v>
      </c>
      <c r="H31" s="4">
        <v>2</v>
      </c>
      <c r="I31" s="2" t="s">
        <v>155</v>
      </c>
      <c r="J31" s="2" t="str">
        <f t="shared" si="0"/>
        <v>OK</v>
      </c>
    </row>
    <row r="32" spans="1:10" ht="64.05" customHeight="1" x14ac:dyDescent="0.3">
      <c r="A32" s="2" t="s">
        <v>156</v>
      </c>
      <c r="B32" s="2" t="s">
        <v>157</v>
      </c>
      <c r="C32" s="2" t="s">
        <v>158</v>
      </c>
      <c r="D32" s="2" t="s">
        <v>159</v>
      </c>
      <c r="E32" s="2" t="s">
        <v>160</v>
      </c>
      <c r="F32" s="2" t="s">
        <v>161</v>
      </c>
      <c r="G32" s="2" t="s">
        <v>162</v>
      </c>
      <c r="H32" s="4">
        <v>1</v>
      </c>
      <c r="I32" s="2" t="s">
        <v>163</v>
      </c>
      <c r="J32" s="2" t="str">
        <f t="shared" si="0"/>
        <v>OK</v>
      </c>
    </row>
    <row r="33" spans="1:10" ht="64.05" customHeight="1" x14ac:dyDescent="0.3">
      <c r="A33" s="2" t="s">
        <v>164</v>
      </c>
      <c r="B33" s="2" t="s">
        <v>157</v>
      </c>
      <c r="C33" s="2" t="s">
        <v>158</v>
      </c>
      <c r="D33" s="2" t="s">
        <v>159</v>
      </c>
      <c r="E33" s="2" t="s">
        <v>160</v>
      </c>
      <c r="F33" s="2" t="s">
        <v>165</v>
      </c>
      <c r="G33" s="2" t="s">
        <v>166</v>
      </c>
      <c r="H33" s="4">
        <v>1</v>
      </c>
      <c r="I33" s="2" t="s">
        <v>167</v>
      </c>
      <c r="J33" s="2" t="str">
        <f t="shared" si="0"/>
        <v>OK</v>
      </c>
    </row>
    <row r="34" spans="1:10" ht="64.05" customHeight="1" x14ac:dyDescent="0.3">
      <c r="A34" s="2" t="s">
        <v>168</v>
      </c>
      <c r="B34" s="2" t="s">
        <v>157</v>
      </c>
      <c r="C34" s="2" t="s">
        <v>158</v>
      </c>
      <c r="D34" s="2" t="s">
        <v>159</v>
      </c>
      <c r="E34" s="2" t="s">
        <v>160</v>
      </c>
      <c r="F34" s="2" t="s">
        <v>169</v>
      </c>
      <c r="G34" s="2" t="s">
        <v>170</v>
      </c>
      <c r="H34" s="4">
        <v>2</v>
      </c>
      <c r="I34" s="2" t="s">
        <v>65</v>
      </c>
      <c r="J34" s="2" t="str">
        <f t="shared" ref="J34:J51" si="1">IF(H34="","MISSING",IF(OR(H34=0,H34=1,H34=2,H34="0",H34="1",H34="2"),"OK","INVALID"))</f>
        <v>OK</v>
      </c>
    </row>
    <row r="35" spans="1:10" ht="64.05" customHeight="1" x14ac:dyDescent="0.3">
      <c r="A35" s="2" t="s">
        <v>171</v>
      </c>
      <c r="B35" s="2" t="s">
        <v>157</v>
      </c>
      <c r="C35" s="2" t="s">
        <v>158</v>
      </c>
      <c r="D35" s="2" t="s">
        <v>159</v>
      </c>
      <c r="E35" s="2" t="s">
        <v>160</v>
      </c>
      <c r="F35" s="2" t="s">
        <v>79</v>
      </c>
      <c r="G35" s="2" t="s">
        <v>80</v>
      </c>
      <c r="H35" s="4">
        <v>1</v>
      </c>
      <c r="I35" s="2" t="s">
        <v>172</v>
      </c>
      <c r="J35" s="2" t="str">
        <f t="shared" si="1"/>
        <v>OK</v>
      </c>
    </row>
    <row r="36" spans="1:10" ht="64.05" customHeight="1" x14ac:dyDescent="0.3">
      <c r="A36" s="2" t="s">
        <v>173</v>
      </c>
      <c r="B36" s="2" t="s">
        <v>157</v>
      </c>
      <c r="C36" s="2" t="s">
        <v>158</v>
      </c>
      <c r="D36" s="2" t="s">
        <v>159</v>
      </c>
      <c r="E36" s="2" t="s">
        <v>160</v>
      </c>
      <c r="F36" s="2" t="s">
        <v>174</v>
      </c>
      <c r="G36" s="2" t="s">
        <v>175</v>
      </c>
      <c r="H36" s="4">
        <v>1</v>
      </c>
      <c r="I36" s="2" t="s">
        <v>65</v>
      </c>
      <c r="J36" s="2" t="str">
        <f t="shared" si="1"/>
        <v>OK</v>
      </c>
    </row>
    <row r="37" spans="1:10" ht="64.05" customHeight="1" x14ac:dyDescent="0.3">
      <c r="A37" s="2" t="s">
        <v>176</v>
      </c>
      <c r="B37" s="2" t="s">
        <v>157</v>
      </c>
      <c r="C37" s="2" t="s">
        <v>158</v>
      </c>
      <c r="D37" s="2" t="s">
        <v>159</v>
      </c>
      <c r="E37" s="2" t="s">
        <v>160</v>
      </c>
      <c r="F37" s="2" t="s">
        <v>177</v>
      </c>
      <c r="G37" s="2" t="s">
        <v>162</v>
      </c>
      <c r="H37" s="4">
        <v>1</v>
      </c>
      <c r="I37" s="2" t="s">
        <v>178</v>
      </c>
      <c r="J37" s="2" t="str">
        <f t="shared" si="1"/>
        <v>OK</v>
      </c>
    </row>
    <row r="38" spans="1:10" ht="64.05" customHeight="1" x14ac:dyDescent="0.3">
      <c r="A38" s="2" t="s">
        <v>179</v>
      </c>
      <c r="B38" s="2" t="s">
        <v>157</v>
      </c>
      <c r="C38" s="2" t="s">
        <v>158</v>
      </c>
      <c r="D38" s="2" t="s">
        <v>159</v>
      </c>
      <c r="E38" s="2" t="s">
        <v>160</v>
      </c>
      <c r="F38" s="2" t="s">
        <v>180</v>
      </c>
      <c r="G38" s="2" t="s">
        <v>181</v>
      </c>
      <c r="H38" s="4">
        <v>2</v>
      </c>
      <c r="I38" s="2" t="s">
        <v>182</v>
      </c>
      <c r="J38" s="2" t="str">
        <f t="shared" si="1"/>
        <v>OK</v>
      </c>
    </row>
    <row r="39" spans="1:10" ht="64.05" customHeight="1" x14ac:dyDescent="0.3">
      <c r="A39" s="2" t="s">
        <v>183</v>
      </c>
      <c r="B39" s="2" t="s">
        <v>157</v>
      </c>
      <c r="C39" s="2" t="s">
        <v>158</v>
      </c>
      <c r="D39" s="2" t="s">
        <v>159</v>
      </c>
      <c r="E39" s="2" t="s">
        <v>160</v>
      </c>
      <c r="F39" s="2" t="s">
        <v>184</v>
      </c>
      <c r="G39" s="2" t="s">
        <v>162</v>
      </c>
      <c r="H39" s="4">
        <v>1</v>
      </c>
      <c r="I39" s="2" t="s">
        <v>185</v>
      </c>
      <c r="J39" s="2" t="str">
        <f t="shared" si="1"/>
        <v>OK</v>
      </c>
    </row>
    <row r="40" spans="1:10" ht="64.05" customHeight="1" x14ac:dyDescent="0.3">
      <c r="A40" s="2" t="s">
        <v>186</v>
      </c>
      <c r="B40" s="2" t="s">
        <v>157</v>
      </c>
      <c r="C40" s="2" t="s">
        <v>158</v>
      </c>
      <c r="D40" s="2" t="s">
        <v>159</v>
      </c>
      <c r="E40" s="2" t="s">
        <v>160</v>
      </c>
      <c r="F40" s="2" t="s">
        <v>107</v>
      </c>
      <c r="G40" s="2" t="s">
        <v>108</v>
      </c>
      <c r="H40" s="4">
        <v>2</v>
      </c>
      <c r="I40" s="2" t="s">
        <v>187</v>
      </c>
      <c r="J40" s="2" t="str">
        <f t="shared" si="1"/>
        <v>OK</v>
      </c>
    </row>
    <row r="41" spans="1:10" ht="64.05" customHeight="1" x14ac:dyDescent="0.3">
      <c r="A41" s="2" t="s">
        <v>188</v>
      </c>
      <c r="B41" s="2" t="s">
        <v>157</v>
      </c>
      <c r="C41" s="2" t="s">
        <v>158</v>
      </c>
      <c r="D41" s="2" t="s">
        <v>159</v>
      </c>
      <c r="E41" s="2" t="s">
        <v>160</v>
      </c>
      <c r="F41" s="2" t="s">
        <v>75</v>
      </c>
      <c r="G41" s="2" t="s">
        <v>76</v>
      </c>
      <c r="H41" s="4">
        <v>2</v>
      </c>
      <c r="I41" s="2" t="s">
        <v>65</v>
      </c>
      <c r="J41" s="2" t="str">
        <f t="shared" si="1"/>
        <v>OK</v>
      </c>
    </row>
    <row r="42" spans="1:10" ht="64.05" customHeight="1" x14ac:dyDescent="0.3">
      <c r="A42" s="2" t="s">
        <v>189</v>
      </c>
      <c r="B42" s="2" t="s">
        <v>190</v>
      </c>
      <c r="C42" s="2" t="s">
        <v>191</v>
      </c>
      <c r="D42" s="2" t="s">
        <v>192</v>
      </c>
      <c r="E42" s="2" t="s">
        <v>193</v>
      </c>
      <c r="F42" s="2" t="s">
        <v>194</v>
      </c>
      <c r="G42" s="2" t="s">
        <v>195</v>
      </c>
      <c r="H42" s="4">
        <v>2</v>
      </c>
      <c r="I42" s="2" t="s">
        <v>196</v>
      </c>
      <c r="J42" s="2" t="str">
        <f t="shared" si="1"/>
        <v>OK</v>
      </c>
    </row>
    <row r="43" spans="1:10" ht="64.05" customHeight="1" x14ac:dyDescent="0.3">
      <c r="A43" s="2" t="s">
        <v>197</v>
      </c>
      <c r="B43" s="2" t="s">
        <v>190</v>
      </c>
      <c r="C43" s="2" t="s">
        <v>191</v>
      </c>
      <c r="D43" s="2" t="s">
        <v>192</v>
      </c>
      <c r="E43" s="2" t="s">
        <v>193</v>
      </c>
      <c r="F43" s="2" t="s">
        <v>198</v>
      </c>
      <c r="G43" s="2" t="s">
        <v>199</v>
      </c>
      <c r="H43" s="4">
        <v>2</v>
      </c>
      <c r="I43" s="2" t="s">
        <v>200</v>
      </c>
      <c r="J43" s="2" t="str">
        <f t="shared" si="1"/>
        <v>OK</v>
      </c>
    </row>
    <row r="44" spans="1:10" ht="64.05" customHeight="1" x14ac:dyDescent="0.3">
      <c r="A44" s="2" t="s">
        <v>201</v>
      </c>
      <c r="B44" s="2" t="s">
        <v>190</v>
      </c>
      <c r="C44" s="2" t="s">
        <v>191</v>
      </c>
      <c r="D44" s="2" t="s">
        <v>192</v>
      </c>
      <c r="E44" s="2" t="s">
        <v>193</v>
      </c>
      <c r="F44" s="2" t="s">
        <v>202</v>
      </c>
      <c r="G44" s="2" t="s">
        <v>195</v>
      </c>
      <c r="H44" s="4">
        <v>2</v>
      </c>
      <c r="I44" s="2" t="s">
        <v>125</v>
      </c>
      <c r="J44" s="2" t="str">
        <f t="shared" si="1"/>
        <v>OK</v>
      </c>
    </row>
    <row r="45" spans="1:10" ht="64.05" customHeight="1" x14ac:dyDescent="0.3">
      <c r="A45" s="2" t="s">
        <v>203</v>
      </c>
      <c r="B45" s="2" t="s">
        <v>190</v>
      </c>
      <c r="C45" s="2" t="s">
        <v>191</v>
      </c>
      <c r="D45" s="2" t="s">
        <v>192</v>
      </c>
      <c r="E45" s="2" t="s">
        <v>193</v>
      </c>
      <c r="F45" s="2" t="s">
        <v>204</v>
      </c>
      <c r="G45" s="2" t="s">
        <v>195</v>
      </c>
      <c r="H45" s="4">
        <v>2</v>
      </c>
      <c r="I45" s="2" t="s">
        <v>125</v>
      </c>
      <c r="J45" s="2" t="str">
        <f t="shared" si="1"/>
        <v>OK</v>
      </c>
    </row>
    <row r="46" spans="1:10" ht="64.05" customHeight="1" x14ac:dyDescent="0.3">
      <c r="A46" s="2" t="s">
        <v>205</v>
      </c>
      <c r="B46" s="2" t="s">
        <v>190</v>
      </c>
      <c r="C46" s="2" t="s">
        <v>191</v>
      </c>
      <c r="D46" s="2" t="s">
        <v>192</v>
      </c>
      <c r="E46" s="2" t="s">
        <v>193</v>
      </c>
      <c r="F46" s="2" t="s">
        <v>206</v>
      </c>
      <c r="G46" s="2" t="s">
        <v>207</v>
      </c>
      <c r="H46" s="4">
        <v>2</v>
      </c>
      <c r="I46" s="2" t="s">
        <v>125</v>
      </c>
      <c r="J46" s="2" t="str">
        <f t="shared" si="1"/>
        <v>OK</v>
      </c>
    </row>
    <row r="47" spans="1:10" ht="64.05" customHeight="1" x14ac:dyDescent="0.3">
      <c r="A47" s="2" t="s">
        <v>208</v>
      </c>
      <c r="B47" s="2" t="s">
        <v>190</v>
      </c>
      <c r="C47" s="2" t="s">
        <v>191</v>
      </c>
      <c r="D47" s="2" t="s">
        <v>192</v>
      </c>
      <c r="E47" s="2" t="s">
        <v>193</v>
      </c>
      <c r="F47" s="2" t="s">
        <v>209</v>
      </c>
      <c r="G47" s="2" t="s">
        <v>210</v>
      </c>
      <c r="H47" s="4">
        <v>2</v>
      </c>
      <c r="I47" s="2" t="s">
        <v>125</v>
      </c>
      <c r="J47" s="2" t="str">
        <f t="shared" si="1"/>
        <v>OK</v>
      </c>
    </row>
    <row r="48" spans="1:10" ht="64.05" customHeight="1" x14ac:dyDescent="0.3">
      <c r="A48" s="2" t="s">
        <v>211</v>
      </c>
      <c r="B48" s="2" t="s">
        <v>190</v>
      </c>
      <c r="C48" s="2" t="s">
        <v>191</v>
      </c>
      <c r="D48" s="2" t="s">
        <v>192</v>
      </c>
      <c r="E48" s="2" t="s">
        <v>193</v>
      </c>
      <c r="F48" s="2" t="s">
        <v>212</v>
      </c>
      <c r="G48" s="2" t="s">
        <v>213</v>
      </c>
      <c r="H48" s="4">
        <v>1</v>
      </c>
      <c r="I48" s="2" t="s">
        <v>214</v>
      </c>
      <c r="J48" s="2" t="str">
        <f t="shared" si="1"/>
        <v>OK</v>
      </c>
    </row>
    <row r="49" spans="1:10" ht="64.05" customHeight="1" x14ac:dyDescent="0.3">
      <c r="A49" s="2" t="s">
        <v>215</v>
      </c>
      <c r="B49" s="2" t="s">
        <v>190</v>
      </c>
      <c r="C49" s="2" t="s">
        <v>191</v>
      </c>
      <c r="D49" s="2" t="s">
        <v>192</v>
      </c>
      <c r="E49" s="2" t="s">
        <v>193</v>
      </c>
      <c r="F49" s="2" t="s">
        <v>216</v>
      </c>
      <c r="G49" s="2" t="s">
        <v>195</v>
      </c>
      <c r="H49" s="4">
        <v>2</v>
      </c>
      <c r="I49" s="2" t="s">
        <v>125</v>
      </c>
      <c r="J49" s="2" t="str">
        <f t="shared" si="1"/>
        <v>OK</v>
      </c>
    </row>
    <row r="50" spans="1:10" ht="64.05" customHeight="1" x14ac:dyDescent="0.3">
      <c r="A50" s="2" t="s">
        <v>217</v>
      </c>
      <c r="B50" s="2" t="s">
        <v>190</v>
      </c>
      <c r="C50" s="2" t="s">
        <v>191</v>
      </c>
      <c r="D50" s="2" t="s">
        <v>192</v>
      </c>
      <c r="E50" s="2" t="s">
        <v>193</v>
      </c>
      <c r="F50" s="2" t="s">
        <v>218</v>
      </c>
      <c r="G50" s="2" t="s">
        <v>210</v>
      </c>
      <c r="H50" s="4">
        <v>2</v>
      </c>
      <c r="I50" s="2" t="s">
        <v>125</v>
      </c>
      <c r="J50" s="2" t="str">
        <f t="shared" si="1"/>
        <v>OK</v>
      </c>
    </row>
    <row r="51" spans="1:10" ht="64.05" customHeight="1" x14ac:dyDescent="0.3">
      <c r="A51" s="2" t="s">
        <v>219</v>
      </c>
      <c r="B51" s="2" t="s">
        <v>190</v>
      </c>
      <c r="C51" s="2" t="s">
        <v>191</v>
      </c>
      <c r="D51" s="2" t="s">
        <v>192</v>
      </c>
      <c r="E51" s="2" t="s">
        <v>193</v>
      </c>
      <c r="F51" s="2" t="s">
        <v>91</v>
      </c>
      <c r="G51" s="2" t="s">
        <v>92</v>
      </c>
      <c r="H51" s="4">
        <v>2</v>
      </c>
      <c r="I51" s="2" t="s">
        <v>125</v>
      </c>
      <c r="J51" s="2" t="str">
        <f t="shared" si="1"/>
        <v>OK</v>
      </c>
    </row>
  </sheetData>
  <autoFilter ref="A1:J51" xr:uid="{00000000-0009-0000-0000-000001000000}">
    <sortState xmlns:xlrd2="http://schemas.microsoft.com/office/spreadsheetml/2017/richdata2" ref="A2:J51">
      <sortCondition ref="B1:B51"/>
    </sortState>
  </autoFilter>
  <dataValidations count="1">
    <dataValidation type="list" allowBlank="1" showErrorMessage="1" errorTitle="Invalid relevance grade" error="Choose 0, 1, or 2." sqref="H2:H51" xr:uid="{00000000-0002-0000-0100-000000000000}">
      <formula1>"0,1,2"</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
  <sheetViews>
    <sheetView workbookViewId="0"/>
  </sheetViews>
  <sheetFormatPr defaultRowHeight="14.4" x14ac:dyDescent="0.3"/>
  <cols>
    <col min="1" max="1" width="23" customWidth="1"/>
    <col min="2" max="2" width="20" customWidth="1"/>
    <col min="3" max="3" width="15" customWidth="1"/>
  </cols>
  <sheetData>
    <row r="1" spans="1:3" x14ac:dyDescent="0.3">
      <c r="A1" s="3" t="s">
        <v>220</v>
      </c>
      <c r="B1" s="3" t="s">
        <v>221</v>
      </c>
      <c r="C1" s="3" t="s">
        <v>222</v>
      </c>
    </row>
    <row r="2" spans="1:3" x14ac:dyDescent="0.3">
      <c r="A2" t="s">
        <v>223</v>
      </c>
      <c r="B2">
        <f>COUNTA(Grade!A2:A51)</f>
        <v>50</v>
      </c>
      <c r="C2">
        <v>50</v>
      </c>
    </row>
    <row r="3" spans="1:3" x14ac:dyDescent="0.3">
      <c r="A3" t="s">
        <v>224</v>
      </c>
      <c r="B3">
        <f>COUNTIF(Grade!J2:J51,"OK")</f>
        <v>50</v>
      </c>
      <c r="C3">
        <v>50</v>
      </c>
    </row>
    <row r="4" spans="1:3" x14ac:dyDescent="0.3">
      <c r="A4" t="s">
        <v>225</v>
      </c>
      <c r="B4">
        <f>COUNTIF(Grade!J2:J51,"MISSING")</f>
        <v>0</v>
      </c>
      <c r="C4">
        <v>0</v>
      </c>
    </row>
    <row r="5" spans="1:3" x14ac:dyDescent="0.3">
      <c r="A5" t="s">
        <v>226</v>
      </c>
      <c r="B5">
        <f>COUNTIF(Grade!J2:J51,"INVALID")</f>
        <v>0</v>
      </c>
      <c r="C5">
        <v>0</v>
      </c>
    </row>
    <row r="6" spans="1:3" x14ac:dyDescent="0.3">
      <c r="A6" t="s">
        <v>227</v>
      </c>
      <c r="B6">
        <f>COUNTIF(Grade!B2:B51,"C01")</f>
        <v>10</v>
      </c>
      <c r="C6">
        <v>10</v>
      </c>
    </row>
    <row r="7" spans="1:3" x14ac:dyDescent="0.3">
      <c r="A7" t="s">
        <v>228</v>
      </c>
      <c r="B7">
        <f>COUNTIF(Grade!B2:B51,"C02")</f>
        <v>10</v>
      </c>
      <c r="C7">
        <v>10</v>
      </c>
    </row>
    <row r="8" spans="1:3" x14ac:dyDescent="0.3">
      <c r="A8" t="s">
        <v>229</v>
      </c>
      <c r="B8">
        <f>COUNTIF(Grade!B2:B51,"C03")</f>
        <v>10</v>
      </c>
      <c r="C8">
        <v>10</v>
      </c>
    </row>
    <row r="9" spans="1:3" x14ac:dyDescent="0.3">
      <c r="A9" t="s">
        <v>230</v>
      </c>
      <c r="B9">
        <f>COUNTIF(Grade!B2:B51,"C04")</f>
        <v>10</v>
      </c>
      <c r="C9">
        <v>10</v>
      </c>
    </row>
    <row r="10" spans="1:3" x14ac:dyDescent="0.3">
      <c r="A10" t="s">
        <v>231</v>
      </c>
      <c r="B10">
        <f>COUNTIF(Grade!B2:B51,"C05")</f>
        <v>10</v>
      </c>
      <c r="C10">
        <v>10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sheetViews>
  <sheetFormatPr defaultRowHeight="14.4" x14ac:dyDescent="0.3"/>
  <sheetData>
    <row r="1" spans="1:10" x14ac:dyDescent="0.3">
      <c r="A1" t="s">
        <v>18</v>
      </c>
      <c r="B1" t="s">
        <v>19</v>
      </c>
      <c r="C1" t="s">
        <v>232</v>
      </c>
      <c r="D1" t="s">
        <v>233</v>
      </c>
      <c r="E1" t="s">
        <v>234</v>
      </c>
      <c r="F1" t="s">
        <v>23</v>
      </c>
      <c r="G1" t="s">
        <v>235</v>
      </c>
      <c r="H1" t="s">
        <v>24</v>
      </c>
      <c r="I1" t="s">
        <v>236</v>
      </c>
      <c r="J1" t="s">
        <v>237</v>
      </c>
    </row>
    <row r="2" spans="1:10" x14ac:dyDescent="0.3">
      <c r="A2" t="s">
        <v>43</v>
      </c>
      <c r="B2" t="s">
        <v>29</v>
      </c>
      <c r="C2" t="s">
        <v>238</v>
      </c>
      <c r="D2" t="s">
        <v>239</v>
      </c>
      <c r="E2" t="s">
        <v>240</v>
      </c>
      <c r="F2" t="s">
        <v>44</v>
      </c>
      <c r="G2" t="s">
        <v>44</v>
      </c>
      <c r="H2" t="s">
        <v>45</v>
      </c>
      <c r="I2" t="s">
        <v>241</v>
      </c>
      <c r="J2" t="s">
        <v>242</v>
      </c>
    </row>
    <row r="3" spans="1:10" x14ac:dyDescent="0.3">
      <c r="A3" t="s">
        <v>62</v>
      </c>
      <c r="B3" t="s">
        <v>29</v>
      </c>
      <c r="C3" t="s">
        <v>238</v>
      </c>
      <c r="D3" t="s">
        <v>239</v>
      </c>
      <c r="E3" t="s">
        <v>243</v>
      </c>
      <c r="F3" t="s">
        <v>63</v>
      </c>
      <c r="G3" t="s">
        <v>63</v>
      </c>
      <c r="H3" t="s">
        <v>64</v>
      </c>
      <c r="I3" t="s">
        <v>244</v>
      </c>
      <c r="J3" t="s">
        <v>245</v>
      </c>
    </row>
    <row r="4" spans="1:10" x14ac:dyDescent="0.3">
      <c r="A4" t="s">
        <v>47</v>
      </c>
      <c r="B4" t="s">
        <v>29</v>
      </c>
      <c r="C4" t="s">
        <v>238</v>
      </c>
      <c r="D4" t="s">
        <v>239</v>
      </c>
      <c r="E4" t="s">
        <v>246</v>
      </c>
      <c r="F4" t="s">
        <v>48</v>
      </c>
      <c r="G4" t="s">
        <v>48</v>
      </c>
      <c r="H4" t="s">
        <v>49</v>
      </c>
      <c r="I4" t="s">
        <v>247</v>
      </c>
      <c r="J4" t="s">
        <v>248</v>
      </c>
    </row>
    <row r="5" spans="1:10" x14ac:dyDescent="0.3">
      <c r="A5" t="s">
        <v>40</v>
      </c>
      <c r="B5" t="s">
        <v>29</v>
      </c>
      <c r="C5" t="s">
        <v>238</v>
      </c>
      <c r="D5" t="s">
        <v>239</v>
      </c>
      <c r="E5" t="s">
        <v>249</v>
      </c>
      <c r="F5" t="s">
        <v>41</v>
      </c>
      <c r="G5" t="s">
        <v>41</v>
      </c>
      <c r="H5" t="s">
        <v>42</v>
      </c>
      <c r="I5" t="s">
        <v>244</v>
      </c>
      <c r="J5" t="s">
        <v>250</v>
      </c>
    </row>
    <row r="6" spans="1:10" x14ac:dyDescent="0.3">
      <c r="A6" t="s">
        <v>28</v>
      </c>
      <c r="B6" t="s">
        <v>29</v>
      </c>
      <c r="C6" t="s">
        <v>238</v>
      </c>
      <c r="D6" t="s">
        <v>239</v>
      </c>
      <c r="E6" t="s">
        <v>251</v>
      </c>
      <c r="F6" t="s">
        <v>33</v>
      </c>
      <c r="G6" t="s">
        <v>33</v>
      </c>
      <c r="H6" t="s">
        <v>34</v>
      </c>
      <c r="I6" t="s">
        <v>241</v>
      </c>
      <c r="J6" t="s">
        <v>252</v>
      </c>
    </row>
    <row r="7" spans="1:10" x14ac:dyDescent="0.3">
      <c r="A7" t="s">
        <v>50</v>
      </c>
      <c r="B7" t="s">
        <v>29</v>
      </c>
      <c r="C7" t="s">
        <v>238</v>
      </c>
      <c r="D7" t="s">
        <v>239</v>
      </c>
      <c r="E7" t="s">
        <v>253</v>
      </c>
      <c r="F7" t="s">
        <v>51</v>
      </c>
      <c r="G7" t="s">
        <v>51</v>
      </c>
      <c r="H7" t="s">
        <v>52</v>
      </c>
      <c r="I7" t="s">
        <v>244</v>
      </c>
      <c r="J7" t="s">
        <v>254</v>
      </c>
    </row>
    <row r="8" spans="1:10" x14ac:dyDescent="0.3">
      <c r="A8" t="s">
        <v>54</v>
      </c>
      <c r="B8" t="s">
        <v>29</v>
      </c>
      <c r="C8" t="s">
        <v>238</v>
      </c>
      <c r="D8" t="s">
        <v>239</v>
      </c>
      <c r="E8" t="s">
        <v>255</v>
      </c>
      <c r="F8" t="s">
        <v>55</v>
      </c>
      <c r="G8" t="s">
        <v>55</v>
      </c>
      <c r="H8" t="s">
        <v>56</v>
      </c>
      <c r="I8" t="s">
        <v>256</v>
      </c>
      <c r="J8" t="s">
        <v>257</v>
      </c>
    </row>
    <row r="9" spans="1:10" x14ac:dyDescent="0.3">
      <c r="A9" t="s">
        <v>66</v>
      </c>
      <c r="B9" t="s">
        <v>29</v>
      </c>
      <c r="C9" t="s">
        <v>238</v>
      </c>
      <c r="D9" t="s">
        <v>239</v>
      </c>
      <c r="E9" t="s">
        <v>258</v>
      </c>
      <c r="F9" t="s">
        <v>67</v>
      </c>
      <c r="G9" t="s">
        <v>67</v>
      </c>
      <c r="H9" t="s">
        <v>68</v>
      </c>
      <c r="I9" t="s">
        <v>256</v>
      </c>
      <c r="J9" t="s">
        <v>259</v>
      </c>
    </row>
    <row r="10" spans="1:10" x14ac:dyDescent="0.3">
      <c r="A10" t="s">
        <v>58</v>
      </c>
      <c r="B10" t="s">
        <v>29</v>
      </c>
      <c r="C10" t="s">
        <v>238</v>
      </c>
      <c r="D10" t="s">
        <v>239</v>
      </c>
      <c r="E10" t="s">
        <v>260</v>
      </c>
      <c r="F10" t="s">
        <v>59</v>
      </c>
      <c r="G10" t="s">
        <v>59</v>
      </c>
      <c r="H10" t="s">
        <v>60</v>
      </c>
      <c r="I10" t="s">
        <v>241</v>
      </c>
      <c r="J10" t="s">
        <v>261</v>
      </c>
    </row>
    <row r="11" spans="1:10" x14ac:dyDescent="0.3">
      <c r="A11" t="s">
        <v>36</v>
      </c>
      <c r="B11" t="s">
        <v>29</v>
      </c>
      <c r="C11" t="s">
        <v>238</v>
      </c>
      <c r="D11" t="s">
        <v>239</v>
      </c>
      <c r="E11" t="s">
        <v>262</v>
      </c>
      <c r="F11" t="s">
        <v>37</v>
      </c>
      <c r="G11" t="s">
        <v>37</v>
      </c>
      <c r="H11" t="s">
        <v>38</v>
      </c>
      <c r="I11" t="s">
        <v>247</v>
      </c>
      <c r="J11" t="s">
        <v>263</v>
      </c>
    </row>
    <row r="12" spans="1:10" x14ac:dyDescent="0.3">
      <c r="A12" t="s">
        <v>90</v>
      </c>
      <c r="B12" t="s">
        <v>71</v>
      </c>
      <c r="C12" t="s">
        <v>264</v>
      </c>
      <c r="D12" t="s">
        <v>265</v>
      </c>
      <c r="E12" t="s">
        <v>240</v>
      </c>
      <c r="F12" t="s">
        <v>91</v>
      </c>
      <c r="G12" t="s">
        <v>91</v>
      </c>
      <c r="H12" t="s">
        <v>92</v>
      </c>
      <c r="I12" t="s">
        <v>244</v>
      </c>
      <c r="J12" t="s">
        <v>266</v>
      </c>
    </row>
    <row r="13" spans="1:10" x14ac:dyDescent="0.3">
      <c r="A13" t="s">
        <v>78</v>
      </c>
      <c r="B13" t="s">
        <v>71</v>
      </c>
      <c r="C13" t="s">
        <v>264</v>
      </c>
      <c r="D13" t="s">
        <v>265</v>
      </c>
      <c r="E13" t="s">
        <v>243</v>
      </c>
      <c r="F13" t="s">
        <v>79</v>
      </c>
      <c r="G13" t="s">
        <v>79</v>
      </c>
      <c r="H13" t="s">
        <v>80</v>
      </c>
      <c r="I13" t="s">
        <v>241</v>
      </c>
      <c r="J13" t="s">
        <v>267</v>
      </c>
    </row>
    <row r="14" spans="1:10" x14ac:dyDescent="0.3">
      <c r="A14" t="s">
        <v>86</v>
      </c>
      <c r="B14" t="s">
        <v>71</v>
      </c>
      <c r="C14" t="s">
        <v>264</v>
      </c>
      <c r="D14" t="s">
        <v>265</v>
      </c>
      <c r="E14" t="s">
        <v>246</v>
      </c>
      <c r="F14" t="s">
        <v>87</v>
      </c>
      <c r="G14" t="s">
        <v>87</v>
      </c>
      <c r="H14" t="s">
        <v>88</v>
      </c>
      <c r="I14" t="s">
        <v>244</v>
      </c>
      <c r="J14" t="s">
        <v>268</v>
      </c>
    </row>
    <row r="15" spans="1:10" x14ac:dyDescent="0.3">
      <c r="A15" t="s">
        <v>98</v>
      </c>
      <c r="B15" t="s">
        <v>71</v>
      </c>
      <c r="C15" t="s">
        <v>264</v>
      </c>
      <c r="D15" t="s">
        <v>265</v>
      </c>
      <c r="E15" t="s">
        <v>249</v>
      </c>
      <c r="F15" t="s">
        <v>99</v>
      </c>
      <c r="G15" t="s">
        <v>99</v>
      </c>
      <c r="H15" t="s">
        <v>100</v>
      </c>
      <c r="I15" t="s">
        <v>269</v>
      </c>
      <c r="J15" t="s">
        <v>270</v>
      </c>
    </row>
    <row r="16" spans="1:10" x14ac:dyDescent="0.3">
      <c r="A16" t="s">
        <v>102</v>
      </c>
      <c r="B16" t="s">
        <v>71</v>
      </c>
      <c r="C16" t="s">
        <v>264</v>
      </c>
      <c r="D16" t="s">
        <v>265</v>
      </c>
      <c r="E16" t="s">
        <v>251</v>
      </c>
      <c r="F16" t="s">
        <v>103</v>
      </c>
      <c r="G16" t="s">
        <v>103</v>
      </c>
      <c r="H16" t="s">
        <v>104</v>
      </c>
      <c r="I16" t="s">
        <v>244</v>
      </c>
      <c r="J16" t="s">
        <v>271</v>
      </c>
    </row>
    <row r="17" spans="1:10" x14ac:dyDescent="0.3">
      <c r="A17" t="s">
        <v>106</v>
      </c>
      <c r="B17" t="s">
        <v>71</v>
      </c>
      <c r="C17" t="s">
        <v>264</v>
      </c>
      <c r="D17" t="s">
        <v>265</v>
      </c>
      <c r="E17" t="s">
        <v>253</v>
      </c>
      <c r="F17" t="s">
        <v>107</v>
      </c>
      <c r="G17" t="s">
        <v>107</v>
      </c>
      <c r="H17" t="s">
        <v>108</v>
      </c>
      <c r="I17" t="s">
        <v>244</v>
      </c>
      <c r="J17" t="s">
        <v>272</v>
      </c>
    </row>
    <row r="18" spans="1:10" x14ac:dyDescent="0.3">
      <c r="A18" t="s">
        <v>82</v>
      </c>
      <c r="B18" t="s">
        <v>71</v>
      </c>
      <c r="C18" t="s">
        <v>264</v>
      </c>
      <c r="D18" t="s">
        <v>265</v>
      </c>
      <c r="E18" t="s">
        <v>255</v>
      </c>
      <c r="F18" t="s">
        <v>83</v>
      </c>
      <c r="G18" t="s">
        <v>83</v>
      </c>
      <c r="H18" t="s">
        <v>84</v>
      </c>
      <c r="I18" t="s">
        <v>241</v>
      </c>
      <c r="J18" t="s">
        <v>273</v>
      </c>
    </row>
    <row r="19" spans="1:10" x14ac:dyDescent="0.3">
      <c r="A19" t="s">
        <v>110</v>
      </c>
      <c r="B19" t="s">
        <v>71</v>
      </c>
      <c r="C19" t="s">
        <v>264</v>
      </c>
      <c r="D19" t="s">
        <v>265</v>
      </c>
      <c r="E19" t="s">
        <v>258</v>
      </c>
      <c r="F19" t="s">
        <v>111</v>
      </c>
      <c r="G19" t="s">
        <v>111</v>
      </c>
      <c r="H19" t="s">
        <v>112</v>
      </c>
      <c r="I19" t="s">
        <v>241</v>
      </c>
      <c r="J19" t="s">
        <v>274</v>
      </c>
    </row>
    <row r="20" spans="1:10" x14ac:dyDescent="0.3">
      <c r="A20" t="s">
        <v>94</v>
      </c>
      <c r="B20" t="s">
        <v>71</v>
      </c>
      <c r="C20" t="s">
        <v>264</v>
      </c>
      <c r="D20" t="s">
        <v>265</v>
      </c>
      <c r="E20" t="s">
        <v>260</v>
      </c>
      <c r="F20" t="s">
        <v>95</v>
      </c>
      <c r="G20" t="s">
        <v>95</v>
      </c>
      <c r="H20" t="s">
        <v>96</v>
      </c>
      <c r="I20" t="s">
        <v>269</v>
      </c>
      <c r="J20" t="s">
        <v>275</v>
      </c>
    </row>
    <row r="21" spans="1:10" x14ac:dyDescent="0.3">
      <c r="A21" t="s">
        <v>70</v>
      </c>
      <c r="B21" t="s">
        <v>71</v>
      </c>
      <c r="C21" t="s">
        <v>264</v>
      </c>
      <c r="D21" t="s">
        <v>265</v>
      </c>
      <c r="E21" t="s">
        <v>262</v>
      </c>
      <c r="F21" t="s">
        <v>75</v>
      </c>
      <c r="G21" t="s">
        <v>75</v>
      </c>
      <c r="H21" t="s">
        <v>76</v>
      </c>
      <c r="I21" t="s">
        <v>244</v>
      </c>
      <c r="J21" t="s">
        <v>276</v>
      </c>
    </row>
    <row r="22" spans="1:10" x14ac:dyDescent="0.3">
      <c r="A22" t="s">
        <v>145</v>
      </c>
      <c r="B22" t="s">
        <v>115</v>
      </c>
      <c r="C22" t="s">
        <v>277</v>
      </c>
      <c r="D22" t="s">
        <v>278</v>
      </c>
      <c r="E22" t="s">
        <v>240</v>
      </c>
      <c r="F22" t="s">
        <v>146</v>
      </c>
      <c r="G22" t="s">
        <v>146</v>
      </c>
      <c r="H22" t="s">
        <v>147</v>
      </c>
      <c r="I22" t="s">
        <v>244</v>
      </c>
      <c r="J22" t="s">
        <v>279</v>
      </c>
    </row>
    <row r="23" spans="1:10" x14ac:dyDescent="0.3">
      <c r="A23" t="s">
        <v>133</v>
      </c>
      <c r="B23" t="s">
        <v>115</v>
      </c>
      <c r="C23" t="s">
        <v>277</v>
      </c>
      <c r="D23" t="s">
        <v>278</v>
      </c>
      <c r="E23" t="s">
        <v>243</v>
      </c>
      <c r="F23" t="s">
        <v>134</v>
      </c>
      <c r="G23" t="s">
        <v>134</v>
      </c>
      <c r="H23" t="s">
        <v>135</v>
      </c>
      <c r="I23" t="s">
        <v>244</v>
      </c>
      <c r="J23" t="s">
        <v>280</v>
      </c>
    </row>
    <row r="24" spans="1:10" x14ac:dyDescent="0.3">
      <c r="A24" t="s">
        <v>149</v>
      </c>
      <c r="B24" t="s">
        <v>115</v>
      </c>
      <c r="C24" t="s">
        <v>277</v>
      </c>
      <c r="D24" t="s">
        <v>278</v>
      </c>
      <c r="E24" t="s">
        <v>246</v>
      </c>
      <c r="F24" t="s">
        <v>150</v>
      </c>
      <c r="G24" t="s">
        <v>150</v>
      </c>
      <c r="H24" t="s">
        <v>151</v>
      </c>
      <c r="I24" t="s">
        <v>269</v>
      </c>
      <c r="J24" t="s">
        <v>281</v>
      </c>
    </row>
    <row r="25" spans="1:10" x14ac:dyDescent="0.3">
      <c r="A25" t="s">
        <v>122</v>
      </c>
      <c r="B25" t="s">
        <v>115</v>
      </c>
      <c r="C25" t="s">
        <v>277</v>
      </c>
      <c r="D25" t="s">
        <v>278</v>
      </c>
      <c r="E25" t="s">
        <v>249</v>
      </c>
      <c r="F25" t="s">
        <v>123</v>
      </c>
      <c r="G25" t="s">
        <v>123</v>
      </c>
      <c r="H25" t="s">
        <v>124</v>
      </c>
      <c r="I25" t="s">
        <v>247</v>
      </c>
      <c r="J25" t="s">
        <v>282</v>
      </c>
    </row>
    <row r="26" spans="1:10" x14ac:dyDescent="0.3">
      <c r="A26" t="s">
        <v>137</v>
      </c>
      <c r="B26" t="s">
        <v>115</v>
      </c>
      <c r="C26" t="s">
        <v>277</v>
      </c>
      <c r="D26" t="s">
        <v>278</v>
      </c>
      <c r="E26" t="s">
        <v>251</v>
      </c>
      <c r="F26" t="s">
        <v>138</v>
      </c>
      <c r="G26" t="s">
        <v>138</v>
      </c>
      <c r="H26" t="s">
        <v>139</v>
      </c>
      <c r="I26" t="s">
        <v>283</v>
      </c>
      <c r="J26" t="s">
        <v>284</v>
      </c>
    </row>
    <row r="27" spans="1:10" x14ac:dyDescent="0.3">
      <c r="A27" t="s">
        <v>114</v>
      </c>
      <c r="B27" t="s">
        <v>115</v>
      </c>
      <c r="C27" t="s">
        <v>277</v>
      </c>
      <c r="D27" t="s">
        <v>278</v>
      </c>
      <c r="E27" t="s">
        <v>253</v>
      </c>
      <c r="F27" t="s">
        <v>119</v>
      </c>
      <c r="G27" t="s">
        <v>119</v>
      </c>
      <c r="H27" t="s">
        <v>120</v>
      </c>
      <c r="I27" t="s">
        <v>244</v>
      </c>
      <c r="J27" t="s">
        <v>285</v>
      </c>
    </row>
    <row r="28" spans="1:10" x14ac:dyDescent="0.3">
      <c r="A28" t="s">
        <v>126</v>
      </c>
      <c r="B28" t="s">
        <v>115</v>
      </c>
      <c r="C28" t="s">
        <v>277</v>
      </c>
      <c r="D28" t="s">
        <v>278</v>
      </c>
      <c r="E28" t="s">
        <v>255</v>
      </c>
      <c r="F28" t="s">
        <v>127</v>
      </c>
      <c r="G28" t="s">
        <v>127</v>
      </c>
      <c r="H28" t="s">
        <v>128</v>
      </c>
      <c r="I28" t="s">
        <v>244</v>
      </c>
      <c r="J28" t="s">
        <v>286</v>
      </c>
    </row>
    <row r="29" spans="1:10" x14ac:dyDescent="0.3">
      <c r="A29" t="s">
        <v>152</v>
      </c>
      <c r="B29" t="s">
        <v>115</v>
      </c>
      <c r="C29" t="s">
        <v>277</v>
      </c>
      <c r="D29" t="s">
        <v>278</v>
      </c>
      <c r="E29" t="s">
        <v>258</v>
      </c>
      <c r="F29" t="s">
        <v>153</v>
      </c>
      <c r="G29" t="s">
        <v>153</v>
      </c>
      <c r="H29" t="s">
        <v>154</v>
      </c>
      <c r="I29" t="s">
        <v>256</v>
      </c>
      <c r="J29" t="s">
        <v>287</v>
      </c>
    </row>
    <row r="30" spans="1:10" x14ac:dyDescent="0.3">
      <c r="A30" t="s">
        <v>141</v>
      </c>
      <c r="B30" t="s">
        <v>115</v>
      </c>
      <c r="C30" t="s">
        <v>277</v>
      </c>
      <c r="D30" t="s">
        <v>278</v>
      </c>
      <c r="E30" t="s">
        <v>260</v>
      </c>
      <c r="F30" t="s">
        <v>142</v>
      </c>
      <c r="G30" t="s">
        <v>142</v>
      </c>
      <c r="H30" t="s">
        <v>143</v>
      </c>
      <c r="I30" t="s">
        <v>241</v>
      </c>
      <c r="J30" t="s">
        <v>288</v>
      </c>
    </row>
    <row r="31" spans="1:10" x14ac:dyDescent="0.3">
      <c r="A31" t="s">
        <v>129</v>
      </c>
      <c r="B31" t="s">
        <v>115</v>
      </c>
      <c r="C31" t="s">
        <v>277</v>
      </c>
      <c r="D31" t="s">
        <v>278</v>
      </c>
      <c r="E31" t="s">
        <v>262</v>
      </c>
      <c r="F31" t="s">
        <v>130</v>
      </c>
      <c r="G31" t="s">
        <v>130</v>
      </c>
      <c r="H31" t="s">
        <v>131</v>
      </c>
      <c r="I31" t="s">
        <v>244</v>
      </c>
      <c r="J31" t="s">
        <v>289</v>
      </c>
    </row>
    <row r="32" spans="1:10" x14ac:dyDescent="0.3">
      <c r="A32" t="s">
        <v>176</v>
      </c>
      <c r="B32" t="s">
        <v>157</v>
      </c>
      <c r="C32" t="s">
        <v>290</v>
      </c>
      <c r="D32" t="s">
        <v>291</v>
      </c>
      <c r="E32" t="s">
        <v>240</v>
      </c>
      <c r="F32" t="s">
        <v>177</v>
      </c>
      <c r="G32" t="s">
        <v>177</v>
      </c>
      <c r="H32" t="s">
        <v>162</v>
      </c>
      <c r="I32" t="s">
        <v>244</v>
      </c>
      <c r="J32" t="s">
        <v>292</v>
      </c>
    </row>
    <row r="33" spans="1:10" x14ac:dyDescent="0.3">
      <c r="A33" t="s">
        <v>156</v>
      </c>
      <c r="B33" t="s">
        <v>157</v>
      </c>
      <c r="C33" t="s">
        <v>290</v>
      </c>
      <c r="D33" t="s">
        <v>291</v>
      </c>
      <c r="E33" t="s">
        <v>243</v>
      </c>
      <c r="F33" t="s">
        <v>161</v>
      </c>
      <c r="G33" t="s">
        <v>161</v>
      </c>
      <c r="H33" t="s">
        <v>162</v>
      </c>
      <c r="I33" t="s">
        <v>244</v>
      </c>
      <c r="J33" t="s">
        <v>293</v>
      </c>
    </row>
    <row r="34" spans="1:10" x14ac:dyDescent="0.3">
      <c r="A34" t="s">
        <v>183</v>
      </c>
      <c r="B34" t="s">
        <v>157</v>
      </c>
      <c r="C34" t="s">
        <v>290</v>
      </c>
      <c r="D34" t="s">
        <v>291</v>
      </c>
      <c r="E34" t="s">
        <v>246</v>
      </c>
      <c r="F34" t="s">
        <v>184</v>
      </c>
      <c r="G34" t="s">
        <v>184</v>
      </c>
      <c r="H34" t="s">
        <v>162</v>
      </c>
      <c r="I34" t="s">
        <v>244</v>
      </c>
      <c r="J34" t="s">
        <v>294</v>
      </c>
    </row>
    <row r="35" spans="1:10" x14ac:dyDescent="0.3">
      <c r="A35" t="s">
        <v>173</v>
      </c>
      <c r="B35" t="s">
        <v>157</v>
      </c>
      <c r="C35" t="s">
        <v>290</v>
      </c>
      <c r="D35" t="s">
        <v>291</v>
      </c>
      <c r="E35" t="s">
        <v>249</v>
      </c>
      <c r="F35" t="s">
        <v>174</v>
      </c>
      <c r="G35" t="s">
        <v>174</v>
      </c>
      <c r="H35" t="s">
        <v>175</v>
      </c>
      <c r="I35" t="s">
        <v>244</v>
      </c>
      <c r="J35" t="s">
        <v>295</v>
      </c>
    </row>
    <row r="36" spans="1:10" x14ac:dyDescent="0.3">
      <c r="A36" t="s">
        <v>188</v>
      </c>
      <c r="B36" t="s">
        <v>157</v>
      </c>
      <c r="C36" t="s">
        <v>290</v>
      </c>
      <c r="D36" t="s">
        <v>291</v>
      </c>
      <c r="E36" t="s">
        <v>251</v>
      </c>
      <c r="F36" t="s">
        <v>75</v>
      </c>
      <c r="G36" t="s">
        <v>75</v>
      </c>
      <c r="H36" t="s">
        <v>76</v>
      </c>
      <c r="I36" t="s">
        <v>244</v>
      </c>
      <c r="J36" t="s">
        <v>276</v>
      </c>
    </row>
    <row r="37" spans="1:10" x14ac:dyDescent="0.3">
      <c r="A37" t="s">
        <v>171</v>
      </c>
      <c r="B37" t="s">
        <v>157</v>
      </c>
      <c r="C37" t="s">
        <v>290</v>
      </c>
      <c r="D37" t="s">
        <v>291</v>
      </c>
      <c r="E37" t="s">
        <v>253</v>
      </c>
      <c r="F37" t="s">
        <v>79</v>
      </c>
      <c r="G37" t="s">
        <v>79</v>
      </c>
      <c r="H37" t="s">
        <v>80</v>
      </c>
      <c r="I37" t="s">
        <v>241</v>
      </c>
      <c r="J37" t="s">
        <v>267</v>
      </c>
    </row>
    <row r="38" spans="1:10" x14ac:dyDescent="0.3">
      <c r="A38" t="s">
        <v>179</v>
      </c>
      <c r="B38" t="s">
        <v>157</v>
      </c>
      <c r="C38" t="s">
        <v>290</v>
      </c>
      <c r="D38" t="s">
        <v>291</v>
      </c>
      <c r="E38" t="s">
        <v>255</v>
      </c>
      <c r="F38" t="s">
        <v>180</v>
      </c>
      <c r="G38" t="s">
        <v>180</v>
      </c>
      <c r="H38" t="s">
        <v>181</v>
      </c>
      <c r="I38" t="s">
        <v>269</v>
      </c>
      <c r="J38" t="s">
        <v>296</v>
      </c>
    </row>
    <row r="39" spans="1:10" x14ac:dyDescent="0.3">
      <c r="A39" t="s">
        <v>186</v>
      </c>
      <c r="B39" t="s">
        <v>157</v>
      </c>
      <c r="C39" t="s">
        <v>290</v>
      </c>
      <c r="D39" t="s">
        <v>291</v>
      </c>
      <c r="E39" t="s">
        <v>258</v>
      </c>
      <c r="F39" t="s">
        <v>107</v>
      </c>
      <c r="G39" t="s">
        <v>107</v>
      </c>
      <c r="H39" t="s">
        <v>108</v>
      </c>
      <c r="I39" t="s">
        <v>244</v>
      </c>
      <c r="J39" t="s">
        <v>272</v>
      </c>
    </row>
    <row r="40" spans="1:10" x14ac:dyDescent="0.3">
      <c r="A40" t="s">
        <v>168</v>
      </c>
      <c r="B40" t="s">
        <v>157</v>
      </c>
      <c r="C40" t="s">
        <v>290</v>
      </c>
      <c r="D40" t="s">
        <v>291</v>
      </c>
      <c r="E40" t="s">
        <v>260</v>
      </c>
      <c r="F40" t="s">
        <v>169</v>
      </c>
      <c r="G40" t="s">
        <v>169</v>
      </c>
      <c r="H40" t="s">
        <v>170</v>
      </c>
      <c r="I40" t="s">
        <v>269</v>
      </c>
      <c r="J40" t="s">
        <v>297</v>
      </c>
    </row>
    <row r="41" spans="1:10" x14ac:dyDescent="0.3">
      <c r="A41" t="s">
        <v>164</v>
      </c>
      <c r="B41" t="s">
        <v>157</v>
      </c>
      <c r="C41" t="s">
        <v>290</v>
      </c>
      <c r="D41" t="s">
        <v>291</v>
      </c>
      <c r="E41" t="s">
        <v>262</v>
      </c>
      <c r="F41" t="s">
        <v>165</v>
      </c>
      <c r="G41" t="s">
        <v>165</v>
      </c>
      <c r="H41" t="s">
        <v>166</v>
      </c>
      <c r="I41" t="s">
        <v>269</v>
      </c>
      <c r="J41" t="s">
        <v>298</v>
      </c>
    </row>
    <row r="42" spans="1:10" x14ac:dyDescent="0.3">
      <c r="A42" t="s">
        <v>219</v>
      </c>
      <c r="B42" t="s">
        <v>190</v>
      </c>
      <c r="C42" t="s">
        <v>299</v>
      </c>
      <c r="D42" t="s">
        <v>300</v>
      </c>
      <c r="E42" t="s">
        <v>240</v>
      </c>
      <c r="F42" t="s">
        <v>91</v>
      </c>
      <c r="G42" t="s">
        <v>91</v>
      </c>
      <c r="H42" t="s">
        <v>92</v>
      </c>
      <c r="I42" t="s">
        <v>244</v>
      </c>
      <c r="J42" t="s">
        <v>266</v>
      </c>
    </row>
    <row r="43" spans="1:10" x14ac:dyDescent="0.3">
      <c r="A43" t="s">
        <v>203</v>
      </c>
      <c r="B43" t="s">
        <v>190</v>
      </c>
      <c r="C43" t="s">
        <v>299</v>
      </c>
      <c r="D43" t="s">
        <v>300</v>
      </c>
      <c r="E43" t="s">
        <v>243</v>
      </c>
      <c r="F43" t="s">
        <v>204</v>
      </c>
      <c r="G43" t="s">
        <v>204</v>
      </c>
      <c r="H43" t="s">
        <v>195</v>
      </c>
      <c r="I43" t="s">
        <v>244</v>
      </c>
      <c r="J43" t="s">
        <v>301</v>
      </c>
    </row>
    <row r="44" spans="1:10" x14ac:dyDescent="0.3">
      <c r="A44" t="s">
        <v>205</v>
      </c>
      <c r="B44" t="s">
        <v>190</v>
      </c>
      <c r="C44" t="s">
        <v>299</v>
      </c>
      <c r="D44" t="s">
        <v>300</v>
      </c>
      <c r="E44" t="s">
        <v>246</v>
      </c>
      <c r="F44" t="s">
        <v>206</v>
      </c>
      <c r="G44" t="s">
        <v>206</v>
      </c>
      <c r="H44" t="s">
        <v>207</v>
      </c>
      <c r="I44" t="s">
        <v>244</v>
      </c>
      <c r="J44" t="s">
        <v>302</v>
      </c>
    </row>
    <row r="45" spans="1:10" x14ac:dyDescent="0.3">
      <c r="A45" t="s">
        <v>197</v>
      </c>
      <c r="B45" t="s">
        <v>190</v>
      </c>
      <c r="C45" t="s">
        <v>299</v>
      </c>
      <c r="D45" t="s">
        <v>300</v>
      </c>
      <c r="E45" t="s">
        <v>249</v>
      </c>
      <c r="F45" t="s">
        <v>198</v>
      </c>
      <c r="G45" t="s">
        <v>198</v>
      </c>
      <c r="H45" t="s">
        <v>199</v>
      </c>
      <c r="I45" t="s">
        <v>269</v>
      </c>
      <c r="J45" t="s">
        <v>303</v>
      </c>
    </row>
    <row r="46" spans="1:10" x14ac:dyDescent="0.3">
      <c r="A46" t="s">
        <v>211</v>
      </c>
      <c r="B46" t="s">
        <v>190</v>
      </c>
      <c r="C46" t="s">
        <v>299</v>
      </c>
      <c r="D46" t="s">
        <v>300</v>
      </c>
      <c r="E46" t="s">
        <v>251</v>
      </c>
      <c r="F46" t="s">
        <v>212</v>
      </c>
      <c r="G46" t="s">
        <v>212</v>
      </c>
      <c r="H46" t="s">
        <v>213</v>
      </c>
      <c r="I46" t="s">
        <v>241</v>
      </c>
      <c r="J46" t="s">
        <v>304</v>
      </c>
    </row>
    <row r="47" spans="1:10" x14ac:dyDescent="0.3">
      <c r="A47" t="s">
        <v>189</v>
      </c>
      <c r="B47" t="s">
        <v>190</v>
      </c>
      <c r="C47" t="s">
        <v>299</v>
      </c>
      <c r="D47" t="s">
        <v>300</v>
      </c>
      <c r="E47" t="s">
        <v>253</v>
      </c>
      <c r="F47" t="s">
        <v>194</v>
      </c>
      <c r="G47" t="s">
        <v>194</v>
      </c>
      <c r="H47" t="s">
        <v>195</v>
      </c>
      <c r="I47" t="s">
        <v>244</v>
      </c>
      <c r="J47" t="s">
        <v>305</v>
      </c>
    </row>
    <row r="48" spans="1:10" x14ac:dyDescent="0.3">
      <c r="A48" t="s">
        <v>208</v>
      </c>
      <c r="B48" t="s">
        <v>190</v>
      </c>
      <c r="C48" t="s">
        <v>299</v>
      </c>
      <c r="D48" t="s">
        <v>300</v>
      </c>
      <c r="E48" t="s">
        <v>255</v>
      </c>
      <c r="F48" t="s">
        <v>209</v>
      </c>
      <c r="G48" t="s">
        <v>209</v>
      </c>
      <c r="H48" t="s">
        <v>210</v>
      </c>
      <c r="I48" t="s">
        <v>244</v>
      </c>
      <c r="J48" t="s">
        <v>306</v>
      </c>
    </row>
    <row r="49" spans="1:10" x14ac:dyDescent="0.3">
      <c r="A49" t="s">
        <v>217</v>
      </c>
      <c r="B49" t="s">
        <v>190</v>
      </c>
      <c r="C49" t="s">
        <v>299</v>
      </c>
      <c r="D49" t="s">
        <v>300</v>
      </c>
      <c r="E49" t="s">
        <v>258</v>
      </c>
      <c r="F49" t="s">
        <v>218</v>
      </c>
      <c r="G49" t="s">
        <v>218</v>
      </c>
      <c r="H49" t="s">
        <v>210</v>
      </c>
      <c r="I49" t="s">
        <v>244</v>
      </c>
      <c r="J49" t="s">
        <v>307</v>
      </c>
    </row>
    <row r="50" spans="1:10" x14ac:dyDescent="0.3">
      <c r="A50" t="s">
        <v>201</v>
      </c>
      <c r="B50" t="s">
        <v>190</v>
      </c>
      <c r="C50" t="s">
        <v>299</v>
      </c>
      <c r="D50" t="s">
        <v>300</v>
      </c>
      <c r="E50" t="s">
        <v>260</v>
      </c>
      <c r="F50" t="s">
        <v>202</v>
      </c>
      <c r="G50" t="s">
        <v>202</v>
      </c>
      <c r="H50" t="s">
        <v>195</v>
      </c>
      <c r="I50" t="s">
        <v>244</v>
      </c>
      <c r="J50" t="s">
        <v>308</v>
      </c>
    </row>
    <row r="51" spans="1:10" x14ac:dyDescent="0.3">
      <c r="A51" t="s">
        <v>215</v>
      </c>
      <c r="B51" t="s">
        <v>190</v>
      </c>
      <c r="C51" t="s">
        <v>299</v>
      </c>
      <c r="D51" t="s">
        <v>300</v>
      </c>
      <c r="E51" t="s">
        <v>262</v>
      </c>
      <c r="F51" t="s">
        <v>216</v>
      </c>
      <c r="G51" t="s">
        <v>216</v>
      </c>
      <c r="H51" t="s">
        <v>195</v>
      </c>
      <c r="I51" t="s">
        <v>244</v>
      </c>
      <c r="J51" t="s">
        <v>309</v>
      </c>
    </row>
    <row r="53" spans="1:10" x14ac:dyDescent="0.3">
      <c r="A53" t="s">
        <v>310</v>
      </c>
      <c r="B53" t="s">
        <v>311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
  <sheetViews>
    <sheetView tabSelected="1" workbookViewId="0">
      <selection activeCell="F8" sqref="F8"/>
    </sheetView>
  </sheetViews>
  <sheetFormatPr defaultRowHeight="14.4" x14ac:dyDescent="0.3"/>
  <cols>
    <col min="1" max="5" width="20" customWidth="1"/>
  </cols>
  <sheetData>
    <row r="1" spans="1:5" x14ac:dyDescent="0.3">
      <c r="A1" t="s">
        <v>19</v>
      </c>
      <c r="B1" t="s">
        <v>312</v>
      </c>
      <c r="C1" t="s">
        <v>313</v>
      </c>
      <c r="D1" t="s">
        <v>314</v>
      </c>
      <c r="E1" t="s">
        <v>315</v>
      </c>
    </row>
    <row r="2" spans="1:5" x14ac:dyDescent="0.3">
      <c r="A2" t="s">
        <v>29</v>
      </c>
      <c r="B2">
        <v>1</v>
      </c>
      <c r="C2">
        <v>0.4</v>
      </c>
      <c r="D2">
        <v>1</v>
      </c>
      <c r="E2">
        <v>0.3</v>
      </c>
    </row>
    <row r="3" spans="1:5" x14ac:dyDescent="0.3">
      <c r="A3" t="s">
        <v>71</v>
      </c>
      <c r="B3">
        <v>0.2</v>
      </c>
      <c r="C3">
        <v>0.2</v>
      </c>
      <c r="D3">
        <v>0.5</v>
      </c>
      <c r="E3">
        <v>0.3</v>
      </c>
    </row>
    <row r="4" spans="1:5" x14ac:dyDescent="0.3">
      <c r="A4" t="s">
        <v>115</v>
      </c>
      <c r="B4">
        <v>1</v>
      </c>
      <c r="C4">
        <v>0.4</v>
      </c>
      <c r="D4">
        <v>1</v>
      </c>
      <c r="E4">
        <v>0.7</v>
      </c>
    </row>
    <row r="5" spans="1:5" x14ac:dyDescent="0.3">
      <c r="A5" t="s">
        <v>157</v>
      </c>
      <c r="B5">
        <v>1</v>
      </c>
      <c r="C5">
        <v>0.2</v>
      </c>
      <c r="D5">
        <v>1</v>
      </c>
      <c r="E5">
        <v>0.4</v>
      </c>
    </row>
    <row r="6" spans="1:5" x14ac:dyDescent="0.3">
      <c r="A6" t="s">
        <v>190</v>
      </c>
      <c r="B6">
        <v>1</v>
      </c>
      <c r="C6">
        <v>0.8</v>
      </c>
      <c r="D6">
        <v>1</v>
      </c>
      <c r="E6">
        <v>0.9</v>
      </c>
    </row>
    <row r="8" spans="1:5" x14ac:dyDescent="0.3">
      <c r="A8" t="s">
        <v>316</v>
      </c>
      <c r="B8">
        <v>0.84</v>
      </c>
      <c r="C8">
        <v>0.4</v>
      </c>
      <c r="D8">
        <v>0.9</v>
      </c>
      <c r="E8">
        <v>0.52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Grade</vt:lpstr>
      <vt:lpstr>Checks</vt:lpstr>
      <vt:lpstr>Provenance</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EliteBook 830 G6</cp:lastModifiedBy>
  <dcterms:created xsi:type="dcterms:W3CDTF">2026-09-26T09:35:02Z</dcterms:created>
  <dcterms:modified xsi:type="dcterms:W3CDTF">2026-09-26T17:11:54Z</dcterms:modified>
</cp:coreProperties>
</file>